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\OneDrive\Desktop\Work\Programs\Landman Program\Test Files\"/>
    </mc:Choice>
  </mc:AlternateContent>
  <xr:revisionPtr revIDLastSave="0" documentId="13_ncr:1_{9D4FD506-1C69-4F50-9580-53F63DADA267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Table 1" sheetId="1" r:id="rId1"/>
  </sheets>
  <definedNames>
    <definedName name="_xlnm._FilterDatabase" localSheetId="0" hidden="1">'Table 1'!$A$6:$K$6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4" i="1" l="1"/>
  <c r="O74" i="1" s="1"/>
  <c r="N73" i="1"/>
  <c r="O73" i="1" s="1"/>
  <c r="N72" i="1"/>
  <c r="O72" i="1" s="1"/>
  <c r="N71" i="1"/>
  <c r="O71" i="1" s="1"/>
  <c r="N70" i="1"/>
  <c r="O70" i="1" s="1"/>
  <c r="N69" i="1"/>
  <c r="O69" i="1" s="1"/>
  <c r="N68" i="1"/>
  <c r="O68" i="1" s="1"/>
  <c r="N67" i="1"/>
  <c r="O67" i="1" s="1"/>
  <c r="N66" i="1"/>
  <c r="O66" i="1" s="1"/>
  <c r="N65" i="1"/>
  <c r="O65" i="1" s="1"/>
  <c r="N64" i="1"/>
  <c r="O64" i="1" s="1"/>
  <c r="N63" i="1"/>
  <c r="O63" i="1" s="1"/>
  <c r="N62" i="1"/>
  <c r="O62" i="1" s="1"/>
  <c r="N61" i="1"/>
  <c r="O61" i="1" s="1"/>
  <c r="N60" i="1"/>
  <c r="O60" i="1" s="1"/>
  <c r="N59" i="1"/>
  <c r="O59" i="1" s="1"/>
  <c r="N58" i="1"/>
  <c r="O58" i="1" s="1"/>
  <c r="N57" i="1"/>
  <c r="O57" i="1" s="1"/>
  <c r="N56" i="1"/>
  <c r="O56" i="1" s="1"/>
  <c r="N55" i="1"/>
  <c r="O55" i="1" s="1"/>
  <c r="N54" i="1"/>
  <c r="O54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O46" i="1" s="1"/>
  <c r="N45" i="1"/>
  <c r="O45" i="1" s="1"/>
  <c r="N44" i="1"/>
  <c r="O44" i="1" s="1"/>
  <c r="N43" i="1"/>
  <c r="O43" i="1" s="1"/>
  <c r="N42" i="1"/>
  <c r="O42" i="1" s="1"/>
  <c r="N41" i="1"/>
  <c r="O41" i="1" s="1"/>
  <c r="N40" i="1"/>
  <c r="O40" i="1" s="1"/>
  <c r="N39" i="1"/>
  <c r="O39" i="1" s="1"/>
  <c r="N38" i="1"/>
  <c r="O38" i="1" s="1"/>
  <c r="N37" i="1"/>
  <c r="O37" i="1" s="1"/>
  <c r="N36" i="1"/>
  <c r="O36" i="1" s="1"/>
  <c r="N35" i="1"/>
  <c r="O35" i="1" s="1"/>
  <c r="N34" i="1"/>
  <c r="O34" i="1" s="1"/>
  <c r="N33" i="1"/>
  <c r="O33" i="1" s="1"/>
  <c r="N32" i="1"/>
  <c r="O32" i="1" s="1"/>
  <c r="N31" i="1"/>
  <c r="O31" i="1" s="1"/>
  <c r="N30" i="1"/>
  <c r="O30" i="1" s="1"/>
  <c r="N29" i="1"/>
  <c r="O29" i="1" s="1"/>
  <c r="N28" i="1"/>
  <c r="O28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O22" i="1" s="1"/>
  <c r="N21" i="1"/>
  <c r="O21" i="1" s="1"/>
  <c r="N20" i="1"/>
  <c r="O20" i="1" s="1"/>
  <c r="N19" i="1"/>
  <c r="O19" i="1" s="1"/>
  <c r="N18" i="1"/>
  <c r="O18" i="1" s="1"/>
  <c r="N17" i="1"/>
  <c r="O17" i="1" s="1"/>
  <c r="N16" i="1"/>
  <c r="O16" i="1" s="1"/>
  <c r="N15" i="1"/>
  <c r="O15" i="1" s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</calcChain>
</file>

<file path=xl/sharedStrings.xml><?xml version="1.0" encoding="utf-8"?>
<sst xmlns="http://schemas.openxmlformats.org/spreadsheetml/2006/main" count="708" uniqueCount="256">
  <si>
    <t>Name</t>
  </si>
  <si>
    <t>City</t>
  </si>
  <si>
    <t>Zip</t>
  </si>
  <si>
    <t>Alfred H. Smith, III</t>
  </si>
  <si>
    <t>2520 Twelve Oaks</t>
  </si>
  <si>
    <t>Edmond</t>
  </si>
  <si>
    <t>OK</t>
  </si>
  <si>
    <t>TX</t>
  </si>
  <si>
    <t>Oklahoma City</t>
  </si>
  <si>
    <t>Benjamin M. Stephens</t>
  </si>
  <si>
    <t>8015 Ridgeview St.</t>
  </si>
  <si>
    <t>Sapulpa</t>
  </si>
  <si>
    <t>P.O. Box 1011</t>
  </si>
  <si>
    <t>5915 W. Grand Ave.</t>
  </si>
  <si>
    <t>Chickasha</t>
  </si>
  <si>
    <t>Ardmore</t>
  </si>
  <si>
    <t>Dallas</t>
  </si>
  <si>
    <t>544 NW 32nd St.</t>
  </si>
  <si>
    <t>Brian Lowe a/k/a Brian J. Lowe</t>
  </si>
  <si>
    <t>1713 Coy Flat Dr.</t>
  </si>
  <si>
    <t>Springville</t>
  </si>
  <si>
    <t>CA</t>
  </si>
  <si>
    <t>Carol A. Lowe</t>
  </si>
  <si>
    <t>7201 Ranch Rd. 2222, Apt. 3107</t>
  </si>
  <si>
    <t>Austin</t>
  </si>
  <si>
    <t>Carolyn R. Flood</t>
  </si>
  <si>
    <t>P.O. Box 172</t>
  </si>
  <si>
    <t>Kingfisher</t>
  </si>
  <si>
    <t>Charles E. Flood</t>
  </si>
  <si>
    <t>P.O. Box 374</t>
  </si>
  <si>
    <t>Verden</t>
  </si>
  <si>
    <t>Connie Marian Dubois and Charlie "Randy" Dubois</t>
  </si>
  <si>
    <t>12112 S. Fourth St.</t>
  </si>
  <si>
    <t>Jenks</t>
  </si>
  <si>
    <t>Dan Lewis Christensen</t>
  </si>
  <si>
    <t>13 Ridgecrest Dr.</t>
  </si>
  <si>
    <t>Cabot</t>
  </si>
  <si>
    <t>AR</t>
  </si>
  <si>
    <t>P.O. Box 22932</t>
  </si>
  <si>
    <t>Deborah D. Manning and Gary Manning</t>
  </si>
  <si>
    <t>P.O. Box 450352</t>
  </si>
  <si>
    <t>Grove</t>
  </si>
  <si>
    <t>Donald A. Wood</t>
  </si>
  <si>
    <t>2459 CS 2870</t>
  </si>
  <si>
    <t>Douglas E. Lowe</t>
  </si>
  <si>
    <t>3222 Rough Sawn Ln.</t>
  </si>
  <si>
    <t>Coeur D'Alene</t>
  </si>
  <si>
    <t>ID</t>
  </si>
  <si>
    <t>Ernest A. Lowe</t>
  </si>
  <si>
    <t>S6185 Bluff Rd., Apt. 5</t>
  </si>
  <si>
    <t>Merrimac</t>
  </si>
  <si>
    <t>WI</t>
  </si>
  <si>
    <t>P.O. Box 1130</t>
  </si>
  <si>
    <t>Frank Bannister Revocable Trust dated 7/7/95</t>
  </si>
  <si>
    <t>420 NW 13th St.</t>
  </si>
  <si>
    <t>Gary Charles Lowe and Tarilyn Renee Lowe</t>
  </si>
  <si>
    <t>10592 W. Evans Creek Rd.</t>
  </si>
  <si>
    <t>Rogue River</t>
  </si>
  <si>
    <t>OR</t>
  </si>
  <si>
    <t>10532 W. Evans Creek Rd.</t>
  </si>
  <si>
    <t>Fort Worth</t>
  </si>
  <si>
    <t>James R. Biddick Trust</t>
  </si>
  <si>
    <t>P.O. Box 52476</t>
  </si>
  <si>
    <t>Tulsa</t>
  </si>
  <si>
    <t>Jennifer Ann Bates and Bruce Bates</t>
  </si>
  <si>
    <t>604 Flanders Dr.</t>
  </si>
  <si>
    <t>10643 Bridge Hollow Ct.</t>
  </si>
  <si>
    <t>John Franklin Christensen</t>
  </si>
  <si>
    <t>1124 Fairgrounds Rd., Trlr. 20</t>
  </si>
  <si>
    <t>Farmington</t>
  </si>
  <si>
    <t>NM</t>
  </si>
  <si>
    <t>P.O. Box 684</t>
  </si>
  <si>
    <t>Gardendale</t>
  </si>
  <si>
    <t>Jones County Minerals, Inc.</t>
  </si>
  <si>
    <t>1924 S. Utica Ave., Ste. 1010</t>
  </si>
  <si>
    <t>Kai Mann</t>
  </si>
  <si>
    <t>1720 Hampton St.</t>
  </si>
  <si>
    <t>Lawrence</t>
  </si>
  <si>
    <t>KS</t>
  </si>
  <si>
    <t>Larry M. Durham</t>
  </si>
  <si>
    <t>128 Scenic Hills Dr.</t>
  </si>
  <si>
    <t>Newnan</t>
  </si>
  <si>
    <t>GA</t>
  </si>
  <si>
    <t>10229 Ash St.</t>
  </si>
  <si>
    <t>Overland Park</t>
  </si>
  <si>
    <t>614 Emerald Ave.</t>
  </si>
  <si>
    <t>Kodak</t>
  </si>
  <si>
    <t>TN</t>
  </si>
  <si>
    <t>507 W. 31st St.</t>
  </si>
  <si>
    <t>1907 Hillcrest Rd.</t>
  </si>
  <si>
    <t>Claremore</t>
  </si>
  <si>
    <t>Lakewind, LLC</t>
  </si>
  <si>
    <t>P.O. Box 1765</t>
  </si>
  <si>
    <t>Enid</t>
  </si>
  <si>
    <t>Leslie Lindsey</t>
  </si>
  <si>
    <t>201 Promise Way</t>
  </si>
  <si>
    <t>2801 Cattle Dr.</t>
  </si>
  <si>
    <t>Lindsay Suzan Smith a/k/a Lindsey Suzan Smith</t>
  </si>
  <si>
    <t>1039 Wisteria Trl.</t>
  </si>
  <si>
    <t>5704 Gloucester Ln., Apt. B</t>
  </si>
  <si>
    <t>Lisa Finney</t>
  </si>
  <si>
    <t>1513 Debbie Dr.</t>
  </si>
  <si>
    <t>Plano</t>
  </si>
  <si>
    <t>16428 W. 56th Pl. South</t>
  </si>
  <si>
    <t>Sand Springs</t>
  </si>
  <si>
    <t>P.O. Box 2453</t>
  </si>
  <si>
    <t>Martha Ellen Lowe</t>
  </si>
  <si>
    <t>4808 Congress Ave.</t>
  </si>
  <si>
    <t>Oakland</t>
  </si>
  <si>
    <t>Mary Elaine Knox a/k/a Elaine Knox</t>
  </si>
  <si>
    <t>10084 Fish Hook Ln.</t>
  </si>
  <si>
    <t>Kingston</t>
  </si>
  <si>
    <t>137 Laredo St.</t>
  </si>
  <si>
    <t>Melissa Rogers Erwin</t>
  </si>
  <si>
    <t>32 Frontera Cir.</t>
  </si>
  <si>
    <t>Hot Springs Village</t>
  </si>
  <si>
    <t>5350 Fossil Creek Blvd., Apt. 917</t>
  </si>
  <si>
    <t>Nickolas Jason Rogers</t>
  </si>
  <si>
    <t>6317 Woodbine Dr.</t>
  </si>
  <si>
    <t>Patricia Ann Revard Family Trust</t>
  </si>
  <si>
    <t>P.O. Box 702068</t>
  </si>
  <si>
    <t>Paul Albert Parish</t>
  </si>
  <si>
    <t>152 Camarilla Ave.</t>
  </si>
  <si>
    <t>Oxnard</t>
  </si>
  <si>
    <t>Paul Self</t>
  </si>
  <si>
    <t>8216 NW 125th St.</t>
  </si>
  <si>
    <t>4013 NW Expy., Ste. 690</t>
  </si>
  <si>
    <t>10504 Cloister Dr.</t>
  </si>
  <si>
    <t>P.O. Box 280</t>
  </si>
  <si>
    <t>Ft. Cobb</t>
  </si>
  <si>
    <t>Robert D. Whitten GST Exemption Residuary Trust</t>
  </si>
  <si>
    <t>3829 N. Classen Blvd., Ste. 202</t>
  </si>
  <si>
    <t>9153 Legacy Dr.</t>
  </si>
  <si>
    <t>Robert Farrell Lowe, Jr. a/k/a Robert F. Lowe, Jr. a/k/a Robert R. Lowe Jr., If living or if deceased, his known and unknown heirs, successors, and assigns</t>
  </si>
  <si>
    <t>1524 E. Choctaw</t>
  </si>
  <si>
    <t>21908 Water Oak Cir.</t>
  </si>
  <si>
    <t>P.O. Box 25</t>
  </si>
  <si>
    <t>Fay</t>
  </si>
  <si>
    <t>Templeton Children Investments</t>
  </si>
  <si>
    <t>P.O. Box 12246</t>
  </si>
  <si>
    <t>Tiffinee A. Harmon</t>
  </si>
  <si>
    <t>2338 Lake View Ave.</t>
  </si>
  <si>
    <t>Los Angeles</t>
  </si>
  <si>
    <t>4736 Conejo Ave.</t>
  </si>
  <si>
    <t>Woodland Hills</t>
  </si>
  <si>
    <t>Tim W. Munson, LLC</t>
  </si>
  <si>
    <t>Timothy D. Stephens</t>
  </si>
  <si>
    <t>P.O. Box 2319</t>
  </si>
  <si>
    <t>Virginia L. Christensen Rodgers</t>
  </si>
  <si>
    <t>2434 Hill Rd.</t>
  </si>
  <si>
    <t>William Carl Bachle and Sandra Gayle Bachle</t>
  </si>
  <si>
    <t>4249 NW 56th Street Ter.</t>
  </si>
  <si>
    <r>
      <rPr>
        <sz val="11"/>
        <rFont val="Calibri"/>
        <family val="2"/>
      </rPr>
      <t>Gary Charles Lowe and Tarilyn Renee Lowe, Trustees of
the Gary Charles &amp; Tarilyn Renee Lowe Revocable Trust Dated May 28, 2025</t>
    </r>
  </si>
  <si>
    <r>
      <rPr>
        <sz val="11"/>
        <rFont val="Calibri"/>
        <family val="2"/>
      </rPr>
      <t>Lindsay D. Davis a/k/a Lindsay Denise Davis n/k/a
Lindsay Denise Harrold</t>
    </r>
  </si>
  <si>
    <r>
      <rPr>
        <sz val="11"/>
        <rFont val="Calibri"/>
        <family val="2"/>
      </rPr>
      <t>Louis H. Witwer III, as Trustee of the Louis H. Witwer III
Trust, u/a/d August 15, 1994</t>
    </r>
  </si>
  <si>
    <r>
      <rPr>
        <sz val="11"/>
        <rFont val="Calibri"/>
        <family val="2"/>
      </rPr>
      <t>Wayne G. Collins, Trustee of the Wayne G. Collins
Revocable Trust dated 4/24/2018</t>
    </r>
  </si>
  <si>
    <t>ST</t>
  </si>
  <si>
    <t>First National Bank &amp; Trust Company, Trustee of The
Donna R. Gillenwaters Trust dated 12/3/91</t>
  </si>
  <si>
    <t>Bevill Properties, LLC
c/o Paula G. Bevill</t>
  </si>
  <si>
    <t>Daniel W. Whitten GST Exemption Residuary Trust
c/o Daniel W. Whitten &amp; Kimberly A. Whitten</t>
  </si>
  <si>
    <t>Joe M. Coleman Family Trust
c/o William Payne</t>
  </si>
  <si>
    <t>Known and Unknown Heirs, Successors, and Assigns of
Ann Hoover Durham
c/o Larry M. Durham</t>
  </si>
  <si>
    <t>Known and Unknown Heirs, Successors, and Assigns of
Eidel Merchant a/k/a Eidel Merchant Gramlich
c/o Terri Murphy</t>
  </si>
  <si>
    <t>Known and Unknown Heirs, Successors, and Assigns of
James A. Payne
c/o Andrew Payne</t>
  </si>
  <si>
    <t>Known and Unknown Heirs, Successors, and Assigns of
Joe H. Merchant
c/o Terri Murphy</t>
  </si>
  <si>
    <t>Known and Unknown Heirs, Successors, and Assigns of
Kay Christensen a/k/a Jeanetta Kay Christensen
c/o Dan Lewis Christensen</t>
  </si>
  <si>
    <t>Known and Unknown Heirs, Successors, and Assigns of
Kay Christensen a/k/a Jeanetta Kay Christensen
c/o John Franklin Christensen</t>
  </si>
  <si>
    <t>Known and Unknown Heirs, Successors, and Assigns of
Kay Christensen a/k/a Jeanetta Kay Christensen
c/o Virginia L. Christensen Rodgers</t>
  </si>
  <si>
    <t>Vivian S. Payne
c/o Matthew Payne</t>
  </si>
  <si>
    <t>Robert D. Whitten GST Exemption Residuary Trust
c/o Robert D. Whitten</t>
  </si>
  <si>
    <t>Robert Farrell Lowe, Jr. a/k/a Robert F. Lowe, Jr. a/k/a Robert R. Lowe Jr., If living or if deceased, his known and unknown heirs, successors, and assigns
c/o Robert F. Lowe, III</t>
  </si>
  <si>
    <t>Ronald C. Boden Family Trust
c/o Jonathan Boden</t>
  </si>
  <si>
    <t>APPLICANT</t>
  </si>
  <si>
    <t>CASE NO</t>
  </si>
  <si>
    <t>County</t>
  </si>
  <si>
    <t>S</t>
  </si>
  <si>
    <t>T</t>
  </si>
  <si>
    <t>R</t>
  </si>
  <si>
    <t>Contential</t>
  </si>
  <si>
    <t>Grady</t>
  </si>
  <si>
    <t>32 &amp; 33</t>
  </si>
  <si>
    <t>8N</t>
  </si>
  <si>
    <t>8W</t>
  </si>
  <si>
    <t>Address</t>
  </si>
  <si>
    <t>NMA</t>
  </si>
  <si>
    <t>Roy</t>
  </si>
  <si>
    <t>$/NMA</t>
  </si>
  <si>
    <t>Total Offer</t>
  </si>
  <si>
    <t>Phone</t>
  </si>
  <si>
    <t>New Numbers</t>
  </si>
  <si>
    <t>Email</t>
  </si>
  <si>
    <t>Current Address</t>
  </si>
  <si>
    <t>Notes</t>
  </si>
  <si>
    <t>Estate of Bobby J. Darnell
c/o Jeffrey Darnell</t>
  </si>
  <si>
    <t>4331 NW 59th St #102
Oklahoma City, OK 73112</t>
  </si>
  <si>
    <t>8015 Ridgeview St
Sapulpa, OK 74066</t>
  </si>
  <si>
    <t>5915 W Grand Ave
Chickasha, OK 73018</t>
  </si>
  <si>
    <t>544 NW 32nd St
Oklahoma City, OK 73118</t>
  </si>
  <si>
    <t>PO Box 2709
Porterville, CA 93258</t>
  </si>
  <si>
    <r>
      <t xml:space="preserve">11/13/25: Listed as Harry J Lowe. </t>
    </r>
    <r>
      <rPr>
        <b/>
        <sz val="11"/>
        <color rgb="FF000000"/>
        <rFont val="Calibri"/>
        <family val="2"/>
      </rPr>
      <t>May not be the right guy</t>
    </r>
  </si>
  <si>
    <t>7201 Ranch Road 2222 #3107
Austin, TX 78730</t>
  </si>
  <si>
    <t>PO Box 172
Kingfisher, OK 73750</t>
  </si>
  <si>
    <t>PO Box 374
Verden, OK 73092</t>
  </si>
  <si>
    <t>12112 S 4th St
Jenks, OK 74037</t>
  </si>
  <si>
    <t>558 Greenview Loop #202
Logan, UT 84341</t>
  </si>
  <si>
    <t>14625 Sedona Dr
Oklahoma City, OK 73142</t>
  </si>
  <si>
    <t>32270 S 627 Rd
Grove, OK 74344</t>
  </si>
  <si>
    <t>2459 County Street 2870
Chickasha, OK 73018</t>
  </si>
  <si>
    <t>3222 Rough Sawn Ln
Coeur D Alene, ID 83814</t>
  </si>
  <si>
    <t>S6185 Bluff Rd #5
Merrimac, WI 53561</t>
  </si>
  <si>
    <t>531 County Road 1350 #1350
Chickasha, OK 73018</t>
  </si>
  <si>
    <t>420 NW 13th St #200
Oklahoma City, OK 73103</t>
  </si>
  <si>
    <t>10592 W Evans Creek Rd
Rogue River, OR 97537</t>
  </si>
  <si>
    <t>10643 Bridge Hollow Ct
Dallas, TX 75229</t>
  </si>
  <si>
    <t>PO Box 52476
Tulsa, OK 74152</t>
  </si>
  <si>
    <t>1720 Hampton St
Lawrence, KS 66046</t>
  </si>
  <si>
    <t>128 Scenic Hills Dr
Newnan, GA 30265</t>
  </si>
  <si>
    <t>5405 Meadow Valley Dr
Fort Worth, TX 76123</t>
  </si>
  <si>
    <t>1420 Anna Ln
Farmington, NM 87401</t>
  </si>
  <si>
    <t>11/14/25: This is a business</t>
  </si>
  <si>
    <t>10229 Ash St
Overland Park, KS 66207</t>
  </si>
  <si>
    <t>614 Emerald Ave
Kodak, TN 37764</t>
  </si>
  <si>
    <t>1924 S Utica Ave Ste 900, 
Tulsa, OK 74104</t>
  </si>
  <si>
    <t>507 W 31st St
Farmington, NM 87401</t>
  </si>
  <si>
    <t>11/14/25: This is James Christensen's info</t>
  </si>
  <si>
    <t>1907 Hillcrest Rd
Claremore, OK 74019</t>
  </si>
  <si>
    <t>11/14/25: Oil and gas business like us</t>
  </si>
  <si>
    <t>P.O. BOX 7207
EDMOND, OK 73083</t>
  </si>
  <si>
    <t>201 Promise Way
Edmond, OK 73003</t>
  </si>
  <si>
    <t>11/14/25: May go by Leslie Bates</t>
  </si>
  <si>
    <t>2801 Cattle Dr
Edmond, OK 73034</t>
  </si>
  <si>
    <t>1039 Wisteria Trl
Austin, TX 78753</t>
  </si>
  <si>
    <t>4808 Congress Ave
Oakland, CA 94601</t>
  </si>
  <si>
    <t>137 Laredo St
Ardmore, OK 73401</t>
  </si>
  <si>
    <t>32 Frontera Cir
Hot Springs Village, AR 71909</t>
  </si>
  <si>
    <t>6317 Woodbine Dr
Fort Worth, TX 76112</t>
  </si>
  <si>
    <t>8216 NW 125th St
Oklahoma City, OK 73142</t>
  </si>
  <si>
    <t>6317 Fm 2947
Quinlan, TX 75474</t>
  </si>
  <si>
    <t>16428 W 56th Pl S #56
Sand Springs, OK 74063</t>
  </si>
  <si>
    <t>9153 Legacy Dr
Sand Springs, OK 74063</t>
  </si>
  <si>
    <t>11/14/25: Known as Melissa Richerson</t>
  </si>
  <si>
    <t>PO Box 702068
Tulsa, OK 74170</t>
  </si>
  <si>
    <t>2338 Lake View Ave
Los Angeles, CA 90039</t>
  </si>
  <si>
    <t>152 Camarillo Ave
Oxnard, CA 93035</t>
  </si>
  <si>
    <t>Phoebe Sue Saenz a/k/a Phoebe H. Saenz a/k/a Phoebe
Sue Hampton Saenz</t>
  </si>
  <si>
    <t>10504 Cloisters Dr
Fort Worth, TX 76131</t>
  </si>
  <si>
    <t>Richard Finney, Trustee of the Richard Finney
Revocable Trust dated the 28th day of July, 2010</t>
  </si>
  <si>
    <t xml:space="preserve">
13046 County Road 1340
Fort Cobb, OK 73038</t>
  </si>
  <si>
    <t>1524 E Choctaw Ave
Chickasha, OK 73018</t>
  </si>
  <si>
    <t>82889 Custer
Fay, OK 73646</t>
  </si>
  <si>
    <t>12006 Tavel Cir
Dallas, TX 75230</t>
  </si>
  <si>
    <t>11/14/25: Goes by Ben Templeton</t>
  </si>
  <si>
    <t>4316 NW 143rd St
Oklahoma City, OK 73134</t>
  </si>
  <si>
    <t>7939 E 590 Rd
Hennessey, OK 73742</t>
  </si>
  <si>
    <t>2434 Hill Rd #RT
Oklahoma City, OK 73170</t>
  </si>
  <si>
    <t>4249 NW 56th Ter
Oklahoma City, OK 73112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</si>
</sst>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7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 applyAlignment="1">
      <alignment horizontal="left" wrapText="1"/>
    </xf>
    <xf numFmtId="1" fontId="3" fillId="0" borderId="2" xfId="0" applyNumberFormat="1" applyFont="1" applyBorder="1" applyAlignment="1">
      <alignment horizontal="center" shrinkToFit="1"/>
    </xf>
    <xf numFmtId="0" fontId="3" fillId="0" borderId="1" xfId="0" applyFont="1" applyBorder="1" applyAlignment="1">
      <alignment horizontal="left"/>
    </xf>
    <xf numFmtId="164" fontId="3" fillId="0" borderId="0" xfId="0" applyNumberFormat="1" applyFont="1" applyAlignment="1">
      <alignment horizontal="center"/>
    </xf>
    <xf numFmtId="44" fontId="3" fillId="0" borderId="0" xfId="1" applyFont="1" applyAlignment="1">
      <alignment horizontal="center"/>
    </xf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0" fontId="3" fillId="0" borderId="0" xfId="0" applyFont="1" applyAlignment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5</xdr:row>
      <xdr:rowOff>0</xdr:rowOff>
    </xdr:from>
    <xdr:ext cx="313499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134995" cy="0"/>
        </a:xfrm>
        <a:custGeom>
          <a:avLst/>
          <a:gdLst/>
          <a:ahLst/>
          <a:cxnLst/>
          <a:rect l="0" t="0" r="0" b="0"/>
          <a:pathLst>
            <a:path w="3134995">
              <a:moveTo>
                <a:pt x="0" y="0"/>
              </a:moveTo>
              <a:lnTo>
                <a:pt x="3134804" y="0"/>
              </a:lnTo>
            </a:path>
          </a:pathLst>
        </a:custGeom>
        <a:ln w="9582">
          <a:solidFill>
            <a:srgbClr val="000000"/>
          </a:solidFill>
        </a:ln>
      </xdr:spPr>
    </xdr:sp>
    <xdr:clientData/>
  </xdr:oneCellAnchor>
  <xdr:oneCellAnchor>
    <xdr:from>
      <xdr:col>7</xdr:col>
      <xdr:colOff>0</xdr:colOff>
      <xdr:row>5</xdr:row>
      <xdr:rowOff>0</xdr:rowOff>
    </xdr:from>
    <xdr:ext cx="313499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3134995" cy="0"/>
        </a:xfrm>
        <a:custGeom>
          <a:avLst/>
          <a:gdLst/>
          <a:ahLst/>
          <a:cxnLst/>
          <a:rect l="0" t="0" r="0" b="0"/>
          <a:pathLst>
            <a:path w="3134995">
              <a:moveTo>
                <a:pt x="0" y="0"/>
              </a:moveTo>
              <a:lnTo>
                <a:pt x="3134804" y="0"/>
              </a:lnTo>
            </a:path>
          </a:pathLst>
        </a:custGeom>
        <a:ln w="9582">
          <a:solidFill>
            <a:srgbClr val="000000"/>
          </a:solidFill>
        </a:ln>
      </xdr:spPr>
    </xdr:sp>
    <xdr:clientData/>
  </xdr:oneCellAnchor>
  <xdr:oneCellAnchor>
    <xdr:from>
      <xdr:col>6</xdr:col>
      <xdr:colOff>0</xdr:colOff>
      <xdr:row>5</xdr:row>
      <xdr:rowOff>0</xdr:rowOff>
    </xdr:from>
    <xdr:ext cx="288290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882900" cy="0"/>
        </a:xfrm>
        <a:custGeom>
          <a:avLst/>
          <a:gdLst/>
          <a:ahLst/>
          <a:cxnLst/>
          <a:rect l="0" t="0" r="0" b="0"/>
          <a:pathLst>
            <a:path w="2882900">
              <a:moveTo>
                <a:pt x="0" y="0"/>
              </a:moveTo>
              <a:lnTo>
                <a:pt x="2882663" y="0"/>
              </a:lnTo>
            </a:path>
          </a:pathLst>
        </a:custGeom>
        <a:ln w="9582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"/>
  <sheetViews>
    <sheetView tabSelected="1" topLeftCell="H72" zoomScale="85" zoomScaleNormal="85" workbookViewId="0">
      <selection activeCell="P82" sqref="P82"/>
    </sheetView>
  </sheetViews>
  <sheetFormatPr defaultColWidth="9" defaultRowHeight="14.25" x14ac:dyDescent="0.45"/>
  <cols>
    <col min="1" max="1" width="18.2109375" style="8" bestFit="1" customWidth="1"/>
    <col min="2" max="2" width="16.42578125" style="8" bestFit="1" customWidth="1"/>
    <col min="3" max="3" width="14.2109375" style="8" bestFit="1" customWidth="1"/>
    <col min="4" max="5" width="8.5703125" style="8" bestFit="1" customWidth="1"/>
    <col min="6" max="6" width="8.78515625" style="8" bestFit="1" customWidth="1"/>
    <col min="7" max="7" width="88" style="5" customWidth="1"/>
    <col min="8" max="8" width="31.42578125" style="9" bestFit="1" customWidth="1"/>
    <col min="9" max="9" width="18.42578125" style="9" bestFit="1" customWidth="1"/>
    <col min="10" max="10" width="6.42578125" style="8" bestFit="1" customWidth="1"/>
    <col min="11" max="11" width="7.42578125" style="8" bestFit="1" customWidth="1"/>
    <col min="12" max="12" width="6.78515625" style="5" customWidth="1"/>
    <col min="13" max="13" width="8" style="5" bestFit="1" customWidth="1"/>
    <col min="14" max="14" width="10.42578125" style="5" bestFit="1" customWidth="1"/>
    <col min="15" max="15" width="12.42578125" style="5" bestFit="1" customWidth="1"/>
    <col min="16" max="16" width="16.0703125" style="5" customWidth="1"/>
    <col min="17" max="17" width="9.2109375" style="5" customWidth="1"/>
    <col min="18" max="18" width="26.78515625" style="5" customWidth="1"/>
    <col min="19" max="19" width="17.35546875" style="5" customWidth="1"/>
    <col min="20" max="20" width="27.0703125" style="5" customWidth="1"/>
    <col min="21" max="16384" width="9" style="5"/>
  </cols>
  <sheetData>
    <row r="1" spans="1:20" x14ac:dyDescent="0.45">
      <c r="L1" s="8"/>
      <c r="M1" s="13">
        <v>0.125</v>
      </c>
      <c r="N1" s="14">
        <v>750</v>
      </c>
      <c r="O1" s="14"/>
      <c r="P1" s="8"/>
      <c r="Q1" s="8"/>
      <c r="R1" s="9"/>
      <c r="S1" s="9"/>
      <c r="T1" s="9"/>
    </row>
    <row r="2" spans="1:20" x14ac:dyDescent="0.45">
      <c r="L2" s="8"/>
      <c r="M2" s="13">
        <v>0.1875</v>
      </c>
      <c r="N2" s="14">
        <v>500</v>
      </c>
      <c r="O2" s="14"/>
      <c r="P2" s="8"/>
      <c r="Q2" s="8"/>
      <c r="R2" s="9"/>
      <c r="S2" s="9"/>
      <c r="T2" s="9"/>
    </row>
    <row r="3" spans="1:20" x14ac:dyDescent="0.45">
      <c r="L3" s="8"/>
      <c r="M3" s="13">
        <v>0.2</v>
      </c>
      <c r="N3" s="14">
        <v>250</v>
      </c>
      <c r="O3" s="14"/>
      <c r="P3" s="8"/>
      <c r="Q3" s="8"/>
      <c r="R3" s="9"/>
      <c r="S3" s="9"/>
      <c r="T3" s="9"/>
    </row>
    <row r="4" spans="1:20" x14ac:dyDescent="0.45">
      <c r="L4" s="8"/>
      <c r="M4" s="13">
        <v>0.25</v>
      </c>
      <c r="N4" s="14">
        <v>0</v>
      </c>
      <c r="O4" s="8"/>
      <c r="P4" s="8"/>
      <c r="Q4" s="8"/>
      <c r="R4" s="9"/>
      <c r="S4" s="9"/>
      <c r="T4" s="9"/>
    </row>
    <row r="6" spans="1:20" x14ac:dyDescent="0.45">
      <c r="A6" s="15" t="s">
        <v>172</v>
      </c>
      <c r="B6" s="15" t="s">
        <v>173</v>
      </c>
      <c r="C6" s="15" t="s">
        <v>174</v>
      </c>
      <c r="D6" s="15" t="s">
        <v>175</v>
      </c>
      <c r="E6" s="15" t="s">
        <v>176</v>
      </c>
      <c r="F6" s="15" t="s">
        <v>177</v>
      </c>
      <c r="G6" s="4" t="s">
        <v>0</v>
      </c>
      <c r="H6" s="4" t="s">
        <v>183</v>
      </c>
      <c r="I6" s="4" t="s">
        <v>1</v>
      </c>
      <c r="J6" s="4" t="s">
        <v>156</v>
      </c>
      <c r="K6" s="10" t="s">
        <v>2</v>
      </c>
      <c r="L6" s="15" t="s">
        <v>184</v>
      </c>
      <c r="M6" s="16" t="s">
        <v>185</v>
      </c>
      <c r="N6" s="15" t="s">
        <v>186</v>
      </c>
      <c r="O6" s="15" t="s">
        <v>187</v>
      </c>
      <c r="P6" s="15" t="s">
        <v>188</v>
      </c>
      <c r="Q6" s="15" t="s">
        <v>189</v>
      </c>
      <c r="R6" s="15" t="s">
        <v>190</v>
      </c>
      <c r="S6" s="15" t="s">
        <v>191</v>
      </c>
      <c r="T6" s="15" t="s">
        <v>192</v>
      </c>
    </row>
    <row r="7" spans="1:20" ht="57" x14ac:dyDescent="0.45">
      <c r="A7" s="6" t="s">
        <v>178</v>
      </c>
      <c r="B7" s="6">
        <v>2025002522</v>
      </c>
      <c r="C7" s="6" t="s">
        <v>179</v>
      </c>
      <c r="D7" s="6" t="s">
        <v>180</v>
      </c>
      <c r="E7" s="6" t="s">
        <v>181</v>
      </c>
      <c r="F7" s="6" t="s">
        <v>182</v>
      </c>
      <c r="G7" s="2" t="s">
        <v>3</v>
      </c>
      <c r="H7" s="1" t="s">
        <v>4</v>
      </c>
      <c r="I7" s="1" t="s">
        <v>5</v>
      </c>
      <c r="J7" s="7" t="s">
        <v>6</v>
      </c>
      <c r="K7" s="11">
        <v>73025</v>
      </c>
      <c r="L7" s="3"/>
      <c r="M7" s="17">
        <v>0.1875</v>
      </c>
      <c r="N7" s="18">
        <f>SUM(VLOOKUP(M7, $M$1:$N$4, 2, FALSE))</f>
        <v>500</v>
      </c>
      <c r="O7" s="18">
        <f>L7*N7</f>
        <v>0</v>
      </c>
      <c r="P7" s="3"/>
      <c r="Q7" s="12"/>
      <c r="R7" s="3"/>
      <c r="S7" s="3" t="s">
        <v>194</v>
      </c>
      <c r="T7" s="12"/>
    </row>
    <row r="8" spans="1:20" ht="28.5" x14ac:dyDescent="0.45">
      <c r="A8" s="6" t="s">
        <v>178</v>
      </c>
      <c r="B8" s="6">
        <v>2025002522</v>
      </c>
      <c r="C8" s="6" t="s">
        <v>179</v>
      </c>
      <c r="D8" s="6" t="s">
        <v>180</v>
      </c>
      <c r="E8" s="6" t="s">
        <v>181</v>
      </c>
      <c r="F8" s="6" t="s">
        <v>182</v>
      </c>
      <c r="G8" s="2" t="s">
        <v>9</v>
      </c>
      <c r="H8" s="1" t="s">
        <v>10</v>
      </c>
      <c r="I8" s="1" t="s">
        <v>11</v>
      </c>
      <c r="J8" s="7" t="s">
        <v>6</v>
      </c>
      <c r="K8" s="11">
        <v>74066</v>
      </c>
      <c r="L8" s="3"/>
      <c r="M8" s="17">
        <v>0.1875</v>
      </c>
      <c r="N8" s="18">
        <f t="shared" ref="N8:N64" si="0">SUM(VLOOKUP(M8, $M$1:$N$4, 2, FALSE))</f>
        <v>500</v>
      </c>
      <c r="O8" s="18">
        <f t="shared" ref="O8:O64" si="1">L8*N8</f>
        <v>0</v>
      </c>
      <c r="P8" s="19"/>
      <c r="Q8" s="12"/>
      <c r="R8" s="3"/>
      <c r="S8" s="3" t="s">
        <v>195</v>
      </c>
      <c r="T8" s="12"/>
    </row>
    <row r="9" spans="1:20" ht="28.5" x14ac:dyDescent="0.45">
      <c r="A9" s="6" t="s">
        <v>178</v>
      </c>
      <c r="B9" s="6">
        <v>2025002522</v>
      </c>
      <c r="C9" s="6" t="s">
        <v>179</v>
      </c>
      <c r="D9" s="6" t="s">
        <v>180</v>
      </c>
      <c r="E9" s="6" t="s">
        <v>181</v>
      </c>
      <c r="F9" s="6" t="s">
        <v>182</v>
      </c>
      <c r="G9" s="2" t="s">
        <v>9</v>
      </c>
      <c r="H9" s="1" t="s">
        <v>12</v>
      </c>
      <c r="I9" s="1" t="s">
        <v>11</v>
      </c>
      <c r="J9" s="7" t="s">
        <v>6</v>
      </c>
      <c r="K9" s="11">
        <v>74067</v>
      </c>
      <c r="L9" s="3"/>
      <c r="M9" s="17">
        <v>0.1875</v>
      </c>
      <c r="N9" s="18">
        <f t="shared" si="0"/>
        <v>500</v>
      </c>
      <c r="O9" s="18">
        <f t="shared" si="1"/>
        <v>0</v>
      </c>
      <c r="P9" s="19"/>
      <c r="Q9" s="12"/>
      <c r="R9" s="3"/>
      <c r="S9" s="3" t="s">
        <v>195</v>
      </c>
      <c r="T9" s="12"/>
    </row>
    <row r="10" spans="1:20" ht="42.75" x14ac:dyDescent="0.45">
      <c r="A10" s="6" t="s">
        <v>178</v>
      </c>
      <c r="B10" s="6">
        <v>2025002522</v>
      </c>
      <c r="C10" s="6" t="s">
        <v>179</v>
      </c>
      <c r="D10" s="6" t="s">
        <v>180</v>
      </c>
      <c r="E10" s="6" t="s">
        <v>181</v>
      </c>
      <c r="F10" s="6" t="s">
        <v>182</v>
      </c>
      <c r="G10" s="2" t="s">
        <v>158</v>
      </c>
      <c r="H10" s="1" t="s">
        <v>13</v>
      </c>
      <c r="I10" s="1" t="s">
        <v>14</v>
      </c>
      <c r="J10" s="7" t="s">
        <v>6</v>
      </c>
      <c r="K10" s="11">
        <v>73018</v>
      </c>
      <c r="L10" s="3"/>
      <c r="M10" s="17">
        <v>0.1875</v>
      </c>
      <c r="N10" s="18">
        <f t="shared" si="0"/>
        <v>500</v>
      </c>
      <c r="O10" s="18">
        <f t="shared" si="1"/>
        <v>0</v>
      </c>
      <c r="P10" s="19"/>
      <c r="Q10" s="12"/>
      <c r="R10" s="3"/>
      <c r="S10" s="3" t="s">
        <v>196</v>
      </c>
      <c r="T10" s="12"/>
    </row>
    <row r="11" spans="1:20" ht="42.75" x14ac:dyDescent="0.45">
      <c r="A11" s="6" t="s">
        <v>178</v>
      </c>
      <c r="B11" s="6">
        <v>2025002522</v>
      </c>
      <c r="C11" s="6" t="s">
        <v>179</v>
      </c>
      <c r="D11" s="6" t="s">
        <v>180</v>
      </c>
      <c r="E11" s="6" t="s">
        <v>181</v>
      </c>
      <c r="F11" s="6" t="s">
        <v>182</v>
      </c>
      <c r="G11" s="2" t="s">
        <v>193</v>
      </c>
      <c r="H11" s="1" t="s">
        <v>17</v>
      </c>
      <c r="I11" s="1" t="s">
        <v>8</v>
      </c>
      <c r="J11" s="7" t="s">
        <v>6</v>
      </c>
      <c r="K11" s="11">
        <v>73118</v>
      </c>
      <c r="L11" s="3"/>
      <c r="M11" s="17">
        <v>0.1875</v>
      </c>
      <c r="N11" s="18">
        <f t="shared" si="0"/>
        <v>500</v>
      </c>
      <c r="O11" s="18">
        <f t="shared" si="1"/>
        <v>0</v>
      </c>
      <c r="P11" s="19"/>
      <c r="Q11" s="12"/>
      <c r="R11" s="3"/>
      <c r="S11" s="3" t="s">
        <v>197</v>
      </c>
      <c r="T11" s="12"/>
    </row>
    <row r="12" spans="1:20" ht="42.75" x14ac:dyDescent="0.45">
      <c r="A12" s="6" t="s">
        <v>178</v>
      </c>
      <c r="B12" s="6">
        <v>2025002522</v>
      </c>
      <c r="C12" s="6" t="s">
        <v>179</v>
      </c>
      <c r="D12" s="6" t="s">
        <v>180</v>
      </c>
      <c r="E12" s="6" t="s">
        <v>181</v>
      </c>
      <c r="F12" s="6" t="s">
        <v>182</v>
      </c>
      <c r="G12" s="2" t="s">
        <v>18</v>
      </c>
      <c r="H12" s="1" t="s">
        <v>19</v>
      </c>
      <c r="I12" s="1" t="s">
        <v>20</v>
      </c>
      <c r="J12" s="7" t="s">
        <v>21</v>
      </c>
      <c r="K12" s="11">
        <v>93265</v>
      </c>
      <c r="L12" s="3"/>
      <c r="M12" s="17">
        <v>0.1875</v>
      </c>
      <c r="N12" s="18">
        <f t="shared" si="0"/>
        <v>500</v>
      </c>
      <c r="O12" s="18">
        <f t="shared" si="1"/>
        <v>0</v>
      </c>
      <c r="P12" s="19"/>
      <c r="Q12" s="12"/>
      <c r="R12" s="3"/>
      <c r="S12" s="3" t="s">
        <v>198</v>
      </c>
      <c r="T12" s="12" t="s">
        <v>199</v>
      </c>
    </row>
    <row r="13" spans="1:20" ht="42.75" x14ac:dyDescent="0.45">
      <c r="A13" s="6" t="s">
        <v>178</v>
      </c>
      <c r="B13" s="6">
        <v>2025002522</v>
      </c>
      <c r="C13" s="6" t="s">
        <v>179</v>
      </c>
      <c r="D13" s="6" t="s">
        <v>180</v>
      </c>
      <c r="E13" s="6" t="s">
        <v>181</v>
      </c>
      <c r="F13" s="6" t="s">
        <v>182</v>
      </c>
      <c r="G13" s="2" t="s">
        <v>22</v>
      </c>
      <c r="H13" s="1" t="s">
        <v>23</v>
      </c>
      <c r="I13" s="1" t="s">
        <v>24</v>
      </c>
      <c r="J13" s="7" t="s">
        <v>7</v>
      </c>
      <c r="K13" s="11">
        <v>78730</v>
      </c>
      <c r="L13" s="3"/>
      <c r="M13" s="17">
        <v>0.1875</v>
      </c>
      <c r="N13" s="18">
        <f t="shared" si="0"/>
        <v>500</v>
      </c>
      <c r="O13" s="18">
        <f t="shared" si="1"/>
        <v>0</v>
      </c>
      <c r="P13" s="19"/>
      <c r="Q13" s="12"/>
      <c r="R13" s="3"/>
      <c r="S13" s="3" t="s">
        <v>200</v>
      </c>
      <c r="T13" s="12"/>
    </row>
    <row r="14" spans="1:20" ht="42.75" x14ac:dyDescent="0.45">
      <c r="A14" s="6" t="s">
        <v>178</v>
      </c>
      <c r="B14" s="6">
        <v>2025002522</v>
      </c>
      <c r="C14" s="6" t="s">
        <v>179</v>
      </c>
      <c r="D14" s="6" t="s">
        <v>180</v>
      </c>
      <c r="E14" s="6" t="s">
        <v>181</v>
      </c>
      <c r="F14" s="6" t="s">
        <v>182</v>
      </c>
      <c r="G14" s="2" t="s">
        <v>25</v>
      </c>
      <c r="H14" s="1" t="s">
        <v>26</v>
      </c>
      <c r="I14" s="1" t="s">
        <v>27</v>
      </c>
      <c r="J14" s="7" t="s">
        <v>6</v>
      </c>
      <c r="K14" s="11">
        <v>73750</v>
      </c>
      <c r="L14" s="3"/>
      <c r="M14" s="17">
        <v>0.1875</v>
      </c>
      <c r="N14" s="18">
        <f t="shared" si="0"/>
        <v>500</v>
      </c>
      <c r="O14" s="18">
        <f t="shared" si="1"/>
        <v>0</v>
      </c>
      <c r="P14" s="19"/>
      <c r="Q14" s="12"/>
      <c r="R14" s="3"/>
      <c r="S14" s="3" t="s">
        <v>201</v>
      </c>
      <c r="T14" s="12"/>
    </row>
    <row r="15" spans="1:20" ht="28.5" x14ac:dyDescent="0.45">
      <c r="A15" s="6" t="s">
        <v>178</v>
      </c>
      <c r="B15" s="6">
        <v>2025002522</v>
      </c>
      <c r="C15" s="6" t="s">
        <v>179</v>
      </c>
      <c r="D15" s="6" t="s">
        <v>180</v>
      </c>
      <c r="E15" s="6" t="s">
        <v>181</v>
      </c>
      <c r="F15" s="6" t="s">
        <v>182</v>
      </c>
      <c r="G15" s="2" t="s">
        <v>28</v>
      </c>
      <c r="H15" s="1" t="s">
        <v>29</v>
      </c>
      <c r="I15" s="1" t="s">
        <v>30</v>
      </c>
      <c r="J15" s="7" t="s">
        <v>6</v>
      </c>
      <c r="K15" s="11">
        <v>73092</v>
      </c>
      <c r="L15" s="3"/>
      <c r="M15" s="17">
        <v>0.1875</v>
      </c>
      <c r="N15" s="18">
        <f t="shared" si="0"/>
        <v>500</v>
      </c>
      <c r="O15" s="18">
        <f t="shared" si="1"/>
        <v>0</v>
      </c>
      <c r="P15" s="19"/>
      <c r="Q15" s="12"/>
      <c r="R15" s="3"/>
      <c r="S15" s="3" t="s">
        <v>202</v>
      </c>
      <c r="T15" s="12"/>
    </row>
    <row r="16" spans="1:20" ht="28.5" x14ac:dyDescent="0.45">
      <c r="A16" s="6" t="s">
        <v>178</v>
      </c>
      <c r="B16" s="6">
        <v>2025002522</v>
      </c>
      <c r="C16" s="6" t="s">
        <v>179</v>
      </c>
      <c r="D16" s="6" t="s">
        <v>180</v>
      </c>
      <c r="E16" s="6" t="s">
        <v>181</v>
      </c>
      <c r="F16" s="6" t="s">
        <v>182</v>
      </c>
      <c r="G16" s="2" t="s">
        <v>31</v>
      </c>
      <c r="H16" s="1" t="s">
        <v>32</v>
      </c>
      <c r="I16" s="1" t="s">
        <v>33</v>
      </c>
      <c r="J16" s="7" t="s">
        <v>6</v>
      </c>
      <c r="K16" s="11">
        <v>74037</v>
      </c>
      <c r="L16" s="3"/>
      <c r="M16" s="17">
        <v>0.1875</v>
      </c>
      <c r="N16" s="18">
        <f t="shared" si="0"/>
        <v>500</v>
      </c>
      <c r="O16" s="18">
        <f t="shared" si="1"/>
        <v>0</v>
      </c>
      <c r="P16" s="19"/>
      <c r="Q16" s="12"/>
      <c r="R16" s="3"/>
      <c r="S16" s="3" t="s">
        <v>203</v>
      </c>
      <c r="T16" s="12"/>
    </row>
    <row r="17" spans="1:20" ht="42.75" x14ac:dyDescent="0.45">
      <c r="A17" s="6" t="s">
        <v>178</v>
      </c>
      <c r="B17" s="6">
        <v>2025002522</v>
      </c>
      <c r="C17" s="6" t="s">
        <v>179</v>
      </c>
      <c r="D17" s="6" t="s">
        <v>180</v>
      </c>
      <c r="E17" s="6" t="s">
        <v>181</v>
      </c>
      <c r="F17" s="6" t="s">
        <v>182</v>
      </c>
      <c r="G17" s="2" t="s">
        <v>34</v>
      </c>
      <c r="H17" s="1" t="s">
        <v>35</v>
      </c>
      <c r="I17" s="1" t="s">
        <v>36</v>
      </c>
      <c r="J17" s="7" t="s">
        <v>37</v>
      </c>
      <c r="K17" s="11">
        <v>72023</v>
      </c>
      <c r="L17" s="3"/>
      <c r="M17" s="17">
        <v>0.1875</v>
      </c>
      <c r="N17" s="18">
        <f t="shared" si="0"/>
        <v>500</v>
      </c>
      <c r="O17" s="18">
        <f t="shared" si="1"/>
        <v>0</v>
      </c>
      <c r="P17" s="19"/>
      <c r="Q17" s="12"/>
      <c r="R17" s="3"/>
      <c r="S17" s="3" t="s">
        <v>204</v>
      </c>
      <c r="T17" s="12"/>
    </row>
    <row r="18" spans="1:20" ht="42.75" x14ac:dyDescent="0.45">
      <c r="A18" s="6" t="s">
        <v>178</v>
      </c>
      <c r="B18" s="6">
        <v>2025002522</v>
      </c>
      <c r="C18" s="6" t="s">
        <v>179</v>
      </c>
      <c r="D18" s="6" t="s">
        <v>180</v>
      </c>
      <c r="E18" s="6" t="s">
        <v>181</v>
      </c>
      <c r="F18" s="6" t="s">
        <v>182</v>
      </c>
      <c r="G18" s="2" t="s">
        <v>159</v>
      </c>
      <c r="H18" s="1" t="s">
        <v>38</v>
      </c>
      <c r="I18" s="1" t="s">
        <v>8</v>
      </c>
      <c r="J18" s="7" t="s">
        <v>6</v>
      </c>
      <c r="K18" s="11">
        <v>73123</v>
      </c>
      <c r="L18" s="3"/>
      <c r="M18" s="17">
        <v>0.1875</v>
      </c>
      <c r="N18" s="18">
        <f t="shared" si="0"/>
        <v>500</v>
      </c>
      <c r="O18" s="18">
        <f t="shared" si="1"/>
        <v>0</v>
      </c>
      <c r="P18" s="19"/>
      <c r="Q18" s="12"/>
      <c r="R18" s="3"/>
      <c r="S18" s="3" t="s">
        <v>205</v>
      </c>
      <c r="T18" s="12"/>
    </row>
    <row r="19" spans="1:20" ht="28.5" x14ac:dyDescent="0.45">
      <c r="A19" s="6" t="s">
        <v>178</v>
      </c>
      <c r="B19" s="6">
        <v>2025002522</v>
      </c>
      <c r="C19" s="6" t="s">
        <v>179</v>
      </c>
      <c r="D19" s="6" t="s">
        <v>180</v>
      </c>
      <c r="E19" s="6" t="s">
        <v>181</v>
      </c>
      <c r="F19" s="6" t="s">
        <v>182</v>
      </c>
      <c r="G19" s="2" t="s">
        <v>39</v>
      </c>
      <c r="H19" s="1" t="s">
        <v>40</v>
      </c>
      <c r="I19" s="1" t="s">
        <v>41</v>
      </c>
      <c r="J19" s="7" t="s">
        <v>6</v>
      </c>
      <c r="K19" s="11">
        <v>74345</v>
      </c>
      <c r="L19" s="3"/>
      <c r="M19" s="17">
        <v>0.1875</v>
      </c>
      <c r="N19" s="18">
        <f t="shared" si="0"/>
        <v>500</v>
      </c>
      <c r="O19" s="18">
        <f t="shared" si="1"/>
        <v>0</v>
      </c>
      <c r="P19" s="19"/>
      <c r="Q19" s="12"/>
      <c r="R19" s="3"/>
      <c r="S19" s="3" t="s">
        <v>206</v>
      </c>
      <c r="T19" s="12"/>
    </row>
    <row r="20" spans="1:20" ht="57" x14ac:dyDescent="0.45">
      <c r="A20" s="6" t="s">
        <v>178</v>
      </c>
      <c r="B20" s="6">
        <v>2025002522</v>
      </c>
      <c r="C20" s="6" t="s">
        <v>179</v>
      </c>
      <c r="D20" s="6" t="s">
        <v>180</v>
      </c>
      <c r="E20" s="6" t="s">
        <v>181</v>
      </c>
      <c r="F20" s="6" t="s">
        <v>182</v>
      </c>
      <c r="G20" s="2" t="s">
        <v>42</v>
      </c>
      <c r="H20" s="1" t="s">
        <v>43</v>
      </c>
      <c r="I20" s="1" t="s">
        <v>14</v>
      </c>
      <c r="J20" s="7" t="s">
        <v>6</v>
      </c>
      <c r="K20" s="11">
        <v>73018</v>
      </c>
      <c r="L20" s="3"/>
      <c r="M20" s="17">
        <v>0.1875</v>
      </c>
      <c r="N20" s="18">
        <f t="shared" si="0"/>
        <v>500</v>
      </c>
      <c r="O20" s="18">
        <f t="shared" si="1"/>
        <v>0</v>
      </c>
      <c r="P20" s="19"/>
      <c r="Q20" s="12"/>
      <c r="R20" s="3"/>
      <c r="S20" s="3" t="s">
        <v>207</v>
      </c>
      <c r="T20" s="12"/>
    </row>
    <row r="21" spans="1:20" ht="57" x14ac:dyDescent="0.45">
      <c r="A21" s="6" t="s">
        <v>178</v>
      </c>
      <c r="B21" s="6">
        <v>2025002522</v>
      </c>
      <c r="C21" s="6" t="s">
        <v>179</v>
      </c>
      <c r="D21" s="6" t="s">
        <v>180</v>
      </c>
      <c r="E21" s="6" t="s">
        <v>181</v>
      </c>
      <c r="F21" s="6" t="s">
        <v>182</v>
      </c>
      <c r="G21" s="2" t="s">
        <v>44</v>
      </c>
      <c r="H21" s="1" t="s">
        <v>45</v>
      </c>
      <c r="I21" s="1" t="s">
        <v>46</v>
      </c>
      <c r="J21" s="7" t="s">
        <v>47</v>
      </c>
      <c r="K21" s="11">
        <v>83814</v>
      </c>
      <c r="L21" s="3"/>
      <c r="M21" s="17">
        <v>0.1875</v>
      </c>
      <c r="N21" s="18">
        <f t="shared" si="0"/>
        <v>500</v>
      </c>
      <c r="O21" s="18">
        <f t="shared" si="1"/>
        <v>0</v>
      </c>
      <c r="P21" s="19"/>
      <c r="Q21" s="12"/>
      <c r="R21" s="3"/>
      <c r="S21" s="3" t="s">
        <v>208</v>
      </c>
      <c r="T21" s="12"/>
    </row>
    <row r="22" spans="1:20" ht="42.75" x14ac:dyDescent="0.45">
      <c r="A22" s="6" t="s">
        <v>178</v>
      </c>
      <c r="B22" s="6">
        <v>2025002522</v>
      </c>
      <c r="C22" s="6" t="s">
        <v>179</v>
      </c>
      <c r="D22" s="6" t="s">
        <v>180</v>
      </c>
      <c r="E22" s="6" t="s">
        <v>181</v>
      </c>
      <c r="F22" s="6" t="s">
        <v>182</v>
      </c>
      <c r="G22" s="2" t="s">
        <v>48</v>
      </c>
      <c r="H22" s="1" t="s">
        <v>49</v>
      </c>
      <c r="I22" s="1" t="s">
        <v>50</v>
      </c>
      <c r="J22" s="7" t="s">
        <v>51</v>
      </c>
      <c r="K22" s="11">
        <v>53561</v>
      </c>
      <c r="L22" s="3"/>
      <c r="M22" s="17">
        <v>0.1875</v>
      </c>
      <c r="N22" s="18">
        <f t="shared" si="0"/>
        <v>500</v>
      </c>
      <c r="O22" s="18">
        <f t="shared" si="1"/>
        <v>0</v>
      </c>
      <c r="P22" s="19"/>
      <c r="Q22" s="12"/>
      <c r="R22" s="3"/>
      <c r="S22" s="3" t="s">
        <v>209</v>
      </c>
      <c r="T22" s="12"/>
    </row>
    <row r="23" spans="1:20" ht="57" x14ac:dyDescent="0.45">
      <c r="A23" s="6" t="s">
        <v>178</v>
      </c>
      <c r="B23" s="6">
        <v>2025002522</v>
      </c>
      <c r="C23" s="6" t="s">
        <v>179</v>
      </c>
      <c r="D23" s="6" t="s">
        <v>180</v>
      </c>
      <c r="E23" s="6" t="s">
        <v>181</v>
      </c>
      <c r="F23" s="6" t="s">
        <v>182</v>
      </c>
      <c r="G23" s="2" t="s">
        <v>157</v>
      </c>
      <c r="H23" s="1" t="s">
        <v>52</v>
      </c>
      <c r="I23" s="1" t="s">
        <v>14</v>
      </c>
      <c r="J23" s="7" t="s">
        <v>6</v>
      </c>
      <c r="K23" s="11">
        <v>73023</v>
      </c>
      <c r="L23" s="3"/>
      <c r="M23" s="17">
        <v>0.1875</v>
      </c>
      <c r="N23" s="18">
        <f t="shared" si="0"/>
        <v>500</v>
      </c>
      <c r="O23" s="18">
        <f t="shared" si="1"/>
        <v>0</v>
      </c>
      <c r="P23" s="19"/>
      <c r="Q23" s="12"/>
      <c r="R23" s="3"/>
      <c r="S23" s="3" t="s">
        <v>210</v>
      </c>
      <c r="T23" s="12"/>
    </row>
    <row r="24" spans="1:20" ht="57" x14ac:dyDescent="0.45">
      <c r="A24" s="6" t="s">
        <v>178</v>
      </c>
      <c r="B24" s="6">
        <v>2025002522</v>
      </c>
      <c r="C24" s="6" t="s">
        <v>179</v>
      </c>
      <c r="D24" s="6" t="s">
        <v>180</v>
      </c>
      <c r="E24" s="6" t="s">
        <v>181</v>
      </c>
      <c r="F24" s="6" t="s">
        <v>182</v>
      </c>
      <c r="G24" s="2" t="s">
        <v>53</v>
      </c>
      <c r="H24" s="1" t="s">
        <v>54</v>
      </c>
      <c r="I24" s="1" t="s">
        <v>8</v>
      </c>
      <c r="J24" s="7" t="s">
        <v>6</v>
      </c>
      <c r="K24" s="11">
        <v>73102</v>
      </c>
      <c r="L24" s="3"/>
      <c r="M24" s="17">
        <v>0.1875</v>
      </c>
      <c r="N24" s="18">
        <f t="shared" si="0"/>
        <v>500</v>
      </c>
      <c r="O24" s="18">
        <f t="shared" si="1"/>
        <v>0</v>
      </c>
      <c r="P24" s="19"/>
      <c r="Q24" s="12"/>
      <c r="R24" s="3"/>
      <c r="S24" s="3" t="s">
        <v>211</v>
      </c>
      <c r="T24" s="12"/>
    </row>
    <row r="25" spans="1:20" ht="57" x14ac:dyDescent="0.45">
      <c r="A25" s="6" t="s">
        <v>178</v>
      </c>
      <c r="B25" s="6">
        <v>2025002522</v>
      </c>
      <c r="C25" s="6" t="s">
        <v>179</v>
      </c>
      <c r="D25" s="6" t="s">
        <v>180</v>
      </c>
      <c r="E25" s="6" t="s">
        <v>181</v>
      </c>
      <c r="F25" s="6" t="s">
        <v>182</v>
      </c>
      <c r="G25" s="2" t="s">
        <v>55</v>
      </c>
      <c r="H25" s="1" t="s">
        <v>56</v>
      </c>
      <c r="I25" s="1" t="s">
        <v>57</v>
      </c>
      <c r="J25" s="7" t="s">
        <v>58</v>
      </c>
      <c r="K25" s="11">
        <v>97537</v>
      </c>
      <c r="L25" s="3"/>
      <c r="M25" s="17">
        <v>0.1875</v>
      </c>
      <c r="N25" s="18">
        <f t="shared" si="0"/>
        <v>500</v>
      </c>
      <c r="O25" s="18">
        <f t="shared" si="1"/>
        <v>0</v>
      </c>
      <c r="P25" s="19"/>
      <c r="Q25" s="12"/>
      <c r="R25" s="3"/>
      <c r="S25" s="3" t="s">
        <v>212</v>
      </c>
      <c r="T25" s="12"/>
    </row>
    <row r="26" spans="1:20" ht="57" x14ac:dyDescent="0.45">
      <c r="A26" s="6" t="s">
        <v>178</v>
      </c>
      <c r="B26" s="6">
        <v>2025002522</v>
      </c>
      <c r="C26" s="6" t="s">
        <v>179</v>
      </c>
      <c r="D26" s="6" t="s">
        <v>180</v>
      </c>
      <c r="E26" s="6" t="s">
        <v>181</v>
      </c>
      <c r="F26" s="6" t="s">
        <v>182</v>
      </c>
      <c r="G26" s="3" t="s">
        <v>152</v>
      </c>
      <c r="H26" s="1" t="s">
        <v>59</v>
      </c>
      <c r="I26" s="1" t="s">
        <v>57</v>
      </c>
      <c r="J26" s="7" t="s">
        <v>58</v>
      </c>
      <c r="K26" s="11">
        <v>97537</v>
      </c>
      <c r="L26" s="3"/>
      <c r="M26" s="17">
        <v>0.1875</v>
      </c>
      <c r="N26" s="18">
        <f t="shared" si="0"/>
        <v>500</v>
      </c>
      <c r="O26" s="18">
        <f t="shared" si="1"/>
        <v>0</v>
      </c>
      <c r="P26" s="19"/>
      <c r="Q26" s="12"/>
      <c r="R26" s="3"/>
      <c r="S26" s="3" t="s">
        <v>212</v>
      </c>
      <c r="T26" s="12"/>
    </row>
    <row r="27" spans="1:20" ht="28.5" x14ac:dyDescent="0.45">
      <c r="A27" s="6" t="s">
        <v>178</v>
      </c>
      <c r="B27" s="6">
        <v>2025002522</v>
      </c>
      <c r="C27" s="6" t="s">
        <v>179</v>
      </c>
      <c r="D27" s="6" t="s">
        <v>180</v>
      </c>
      <c r="E27" s="6" t="s">
        <v>181</v>
      </c>
      <c r="F27" s="6" t="s">
        <v>182</v>
      </c>
      <c r="G27" s="2" t="s">
        <v>61</v>
      </c>
      <c r="H27" s="1" t="s">
        <v>62</v>
      </c>
      <c r="I27" s="1" t="s">
        <v>63</v>
      </c>
      <c r="J27" s="7" t="s">
        <v>6</v>
      </c>
      <c r="K27" s="11">
        <v>74152</v>
      </c>
      <c r="L27" s="3"/>
      <c r="M27" s="17">
        <v>0.1875</v>
      </c>
      <c r="N27" s="18">
        <f t="shared" si="0"/>
        <v>500</v>
      </c>
      <c r="O27" s="18">
        <f t="shared" si="1"/>
        <v>0</v>
      </c>
      <c r="P27" s="19"/>
      <c r="Q27" s="12"/>
      <c r="R27" s="3"/>
      <c r="S27" s="3" t="s">
        <v>214</v>
      </c>
      <c r="T27" s="12"/>
    </row>
    <row r="28" spans="1:20" ht="57" x14ac:dyDescent="0.45">
      <c r="A28" s="6" t="s">
        <v>178</v>
      </c>
      <c r="B28" s="6">
        <v>2025002522</v>
      </c>
      <c r="C28" s="6" t="s">
        <v>179</v>
      </c>
      <c r="D28" s="6" t="s">
        <v>180</v>
      </c>
      <c r="E28" s="6" t="s">
        <v>181</v>
      </c>
      <c r="F28" s="6" t="s">
        <v>182</v>
      </c>
      <c r="G28" s="2" t="s">
        <v>64</v>
      </c>
      <c r="H28" s="1" t="s">
        <v>65</v>
      </c>
      <c r="I28" s="1" t="s">
        <v>14</v>
      </c>
      <c r="J28" s="7" t="s">
        <v>6</v>
      </c>
      <c r="K28" s="11">
        <v>73018</v>
      </c>
      <c r="L28" s="3"/>
      <c r="M28" s="17">
        <v>0.1875</v>
      </c>
      <c r="N28" s="18">
        <f t="shared" si="0"/>
        <v>500</v>
      </c>
      <c r="O28" s="18">
        <f t="shared" si="1"/>
        <v>0</v>
      </c>
      <c r="P28" s="19"/>
      <c r="Q28" s="12"/>
      <c r="R28" s="3"/>
      <c r="S28" s="3" t="s">
        <v>217</v>
      </c>
      <c r="T28" s="12"/>
    </row>
    <row r="29" spans="1:20" ht="42.75" x14ac:dyDescent="0.45">
      <c r="A29" s="6" t="s">
        <v>178</v>
      </c>
      <c r="B29" s="6">
        <v>2025002522</v>
      </c>
      <c r="C29" s="6" t="s">
        <v>179</v>
      </c>
      <c r="D29" s="6" t="s">
        <v>180</v>
      </c>
      <c r="E29" s="6" t="s">
        <v>181</v>
      </c>
      <c r="F29" s="6" t="s">
        <v>182</v>
      </c>
      <c r="G29" s="2" t="s">
        <v>160</v>
      </c>
      <c r="H29" s="1" t="s">
        <v>66</v>
      </c>
      <c r="I29" s="1" t="s">
        <v>16</v>
      </c>
      <c r="J29" s="7" t="s">
        <v>7</v>
      </c>
      <c r="K29" s="11">
        <v>75229</v>
      </c>
      <c r="L29" s="3"/>
      <c r="M29" s="17">
        <v>0.1875</v>
      </c>
      <c r="N29" s="18">
        <f t="shared" si="0"/>
        <v>500</v>
      </c>
      <c r="O29" s="18">
        <f t="shared" si="1"/>
        <v>0</v>
      </c>
      <c r="P29" s="19"/>
      <c r="Q29" s="12"/>
      <c r="R29" s="3"/>
      <c r="S29" s="3" t="s">
        <v>213</v>
      </c>
      <c r="T29" s="12"/>
    </row>
    <row r="30" spans="1:20" ht="42.75" x14ac:dyDescent="0.45">
      <c r="A30" s="6" t="s">
        <v>178</v>
      </c>
      <c r="B30" s="6">
        <v>2025002522</v>
      </c>
      <c r="C30" s="6" t="s">
        <v>179</v>
      </c>
      <c r="D30" s="6" t="s">
        <v>180</v>
      </c>
      <c r="E30" s="6" t="s">
        <v>181</v>
      </c>
      <c r="F30" s="6" t="s">
        <v>182</v>
      </c>
      <c r="G30" s="2" t="s">
        <v>67</v>
      </c>
      <c r="H30" s="1" t="s">
        <v>68</v>
      </c>
      <c r="I30" s="1" t="s">
        <v>69</v>
      </c>
      <c r="J30" s="7" t="s">
        <v>70</v>
      </c>
      <c r="K30" s="11">
        <v>87401</v>
      </c>
      <c r="L30" s="3"/>
      <c r="M30" s="17">
        <v>0.1875</v>
      </c>
      <c r="N30" s="18">
        <f t="shared" si="0"/>
        <v>500</v>
      </c>
      <c r="O30" s="18">
        <f t="shared" si="1"/>
        <v>0</v>
      </c>
      <c r="P30" s="19"/>
      <c r="Q30" s="12"/>
      <c r="R30" s="3"/>
      <c r="S30" s="3" t="s">
        <v>218</v>
      </c>
      <c r="T30" s="12"/>
    </row>
    <row r="31" spans="1:20" ht="42.75" x14ac:dyDescent="0.45">
      <c r="A31" s="6" t="s">
        <v>178</v>
      </c>
      <c r="B31" s="6">
        <v>2025002522</v>
      </c>
      <c r="C31" s="6" t="s">
        <v>179</v>
      </c>
      <c r="D31" s="6" t="s">
        <v>180</v>
      </c>
      <c r="E31" s="6" t="s">
        <v>181</v>
      </c>
      <c r="F31" s="6" t="s">
        <v>182</v>
      </c>
      <c r="G31" s="2" t="s">
        <v>67</v>
      </c>
      <c r="H31" s="1" t="s">
        <v>71</v>
      </c>
      <c r="I31" s="1" t="s">
        <v>72</v>
      </c>
      <c r="J31" s="7" t="s">
        <v>7</v>
      </c>
      <c r="K31" s="11">
        <v>79758</v>
      </c>
      <c r="L31" s="3"/>
      <c r="M31" s="17">
        <v>0.1875</v>
      </c>
      <c r="N31" s="18">
        <f t="shared" si="0"/>
        <v>500</v>
      </c>
      <c r="O31" s="18">
        <f t="shared" si="1"/>
        <v>0</v>
      </c>
      <c r="P31" s="19"/>
      <c r="Q31" s="12"/>
      <c r="R31" s="3"/>
      <c r="S31" s="3" t="s">
        <v>218</v>
      </c>
      <c r="T31" s="12"/>
    </row>
    <row r="32" spans="1:20" ht="42.75" x14ac:dyDescent="0.45">
      <c r="A32" s="6" t="s">
        <v>178</v>
      </c>
      <c r="B32" s="6">
        <v>2025002522</v>
      </c>
      <c r="C32" s="6" t="s">
        <v>179</v>
      </c>
      <c r="D32" s="6" t="s">
        <v>180</v>
      </c>
      <c r="E32" s="6" t="s">
        <v>181</v>
      </c>
      <c r="F32" s="6" t="s">
        <v>182</v>
      </c>
      <c r="G32" s="2" t="s">
        <v>73</v>
      </c>
      <c r="H32" s="1" t="s">
        <v>74</v>
      </c>
      <c r="I32" s="1" t="s">
        <v>63</v>
      </c>
      <c r="J32" s="7" t="s">
        <v>6</v>
      </c>
      <c r="K32" s="11">
        <v>74104</v>
      </c>
      <c r="L32" s="3"/>
      <c r="M32" s="17">
        <v>0.1875</v>
      </c>
      <c r="N32" s="18">
        <f t="shared" si="0"/>
        <v>500</v>
      </c>
      <c r="O32" s="18">
        <f t="shared" si="1"/>
        <v>0</v>
      </c>
      <c r="P32" s="19"/>
      <c r="Q32" s="12"/>
      <c r="R32" s="3"/>
      <c r="S32" s="3" t="s">
        <v>222</v>
      </c>
      <c r="T32" s="12" t="s">
        <v>219</v>
      </c>
    </row>
    <row r="33" spans="1:20" ht="42.75" x14ac:dyDescent="0.45">
      <c r="A33" s="6" t="s">
        <v>178</v>
      </c>
      <c r="B33" s="6">
        <v>2025002522</v>
      </c>
      <c r="C33" s="6" t="s">
        <v>179</v>
      </c>
      <c r="D33" s="6" t="s">
        <v>180</v>
      </c>
      <c r="E33" s="6" t="s">
        <v>181</v>
      </c>
      <c r="F33" s="6" t="s">
        <v>182</v>
      </c>
      <c r="G33" s="2" t="s">
        <v>75</v>
      </c>
      <c r="H33" s="1" t="s">
        <v>76</v>
      </c>
      <c r="I33" s="1" t="s">
        <v>77</v>
      </c>
      <c r="J33" s="7" t="s">
        <v>78</v>
      </c>
      <c r="K33" s="11">
        <v>66046</v>
      </c>
      <c r="L33" s="3"/>
      <c r="M33" s="17">
        <v>0.1875</v>
      </c>
      <c r="N33" s="18">
        <f t="shared" si="0"/>
        <v>500</v>
      </c>
      <c r="O33" s="18">
        <f t="shared" si="1"/>
        <v>0</v>
      </c>
      <c r="P33" s="19"/>
      <c r="Q33" s="12"/>
      <c r="R33" s="3"/>
      <c r="S33" s="3" t="s">
        <v>215</v>
      </c>
      <c r="T33" s="12"/>
    </row>
    <row r="34" spans="1:20" ht="42.75" x14ac:dyDescent="0.45">
      <c r="A34" s="6" t="s">
        <v>178</v>
      </c>
      <c r="B34" s="6">
        <v>2025002522</v>
      </c>
      <c r="C34" s="6" t="s">
        <v>179</v>
      </c>
      <c r="D34" s="6" t="s">
        <v>180</v>
      </c>
      <c r="E34" s="6" t="s">
        <v>181</v>
      </c>
      <c r="F34" s="6" t="s">
        <v>182</v>
      </c>
      <c r="G34" s="2" t="s">
        <v>161</v>
      </c>
      <c r="H34" s="1" t="s">
        <v>80</v>
      </c>
      <c r="I34" s="1" t="s">
        <v>81</v>
      </c>
      <c r="J34" s="7" t="s">
        <v>82</v>
      </c>
      <c r="K34" s="11">
        <v>30265</v>
      </c>
      <c r="L34" s="3"/>
      <c r="M34" s="17">
        <v>0.1875</v>
      </c>
      <c r="N34" s="18">
        <f t="shared" si="0"/>
        <v>500</v>
      </c>
      <c r="O34" s="18">
        <f t="shared" si="1"/>
        <v>0</v>
      </c>
      <c r="P34" s="19"/>
      <c r="Q34" s="12"/>
      <c r="R34" s="3"/>
      <c r="S34" s="3" t="s">
        <v>216</v>
      </c>
      <c r="T34" s="12"/>
    </row>
    <row r="35" spans="1:20" ht="42.75" x14ac:dyDescent="0.45">
      <c r="A35" s="6" t="s">
        <v>178</v>
      </c>
      <c r="B35" s="6">
        <v>2025002522</v>
      </c>
      <c r="C35" s="6" t="s">
        <v>179</v>
      </c>
      <c r="D35" s="6" t="s">
        <v>180</v>
      </c>
      <c r="E35" s="6" t="s">
        <v>181</v>
      </c>
      <c r="F35" s="6" t="s">
        <v>182</v>
      </c>
      <c r="G35" s="2" t="s">
        <v>162</v>
      </c>
      <c r="H35" s="1" t="s">
        <v>83</v>
      </c>
      <c r="I35" s="1" t="s">
        <v>84</v>
      </c>
      <c r="J35" s="7" t="s">
        <v>78</v>
      </c>
      <c r="K35" s="11">
        <v>66207</v>
      </c>
      <c r="L35" s="3"/>
      <c r="M35" s="17">
        <v>0.1875</v>
      </c>
      <c r="N35" s="18">
        <f t="shared" si="0"/>
        <v>500</v>
      </c>
      <c r="O35" s="18">
        <f t="shared" si="1"/>
        <v>0</v>
      </c>
      <c r="P35" s="19"/>
      <c r="Q35" s="12"/>
      <c r="R35" s="3"/>
      <c r="S35" s="3" t="s">
        <v>220</v>
      </c>
      <c r="T35" s="12"/>
    </row>
    <row r="36" spans="1:20" ht="42.75" x14ac:dyDescent="0.45">
      <c r="A36" s="6" t="s">
        <v>178</v>
      </c>
      <c r="B36" s="6">
        <v>2025002522</v>
      </c>
      <c r="C36" s="6" t="s">
        <v>179</v>
      </c>
      <c r="D36" s="6" t="s">
        <v>180</v>
      </c>
      <c r="E36" s="6" t="s">
        <v>181</v>
      </c>
      <c r="F36" s="6" t="s">
        <v>182</v>
      </c>
      <c r="G36" s="2" t="s">
        <v>163</v>
      </c>
      <c r="H36" s="1" t="s">
        <v>85</v>
      </c>
      <c r="I36" s="1" t="s">
        <v>86</v>
      </c>
      <c r="J36" s="7" t="s">
        <v>87</v>
      </c>
      <c r="K36" s="11">
        <v>37764</v>
      </c>
      <c r="L36" s="3"/>
      <c r="M36" s="17">
        <v>0.1875</v>
      </c>
      <c r="N36" s="18">
        <f t="shared" si="0"/>
        <v>500</v>
      </c>
      <c r="O36" s="18">
        <f t="shared" si="1"/>
        <v>0</v>
      </c>
      <c r="P36" s="19"/>
      <c r="Q36" s="12"/>
      <c r="R36" s="3"/>
      <c r="S36" s="3" t="s">
        <v>221</v>
      </c>
      <c r="T36" s="12"/>
    </row>
    <row r="37" spans="1:20" ht="42.75" x14ac:dyDescent="0.45">
      <c r="A37" s="6" t="s">
        <v>178</v>
      </c>
      <c r="B37" s="6">
        <v>2025002522</v>
      </c>
      <c r="C37" s="6" t="s">
        <v>179</v>
      </c>
      <c r="D37" s="6" t="s">
        <v>180</v>
      </c>
      <c r="E37" s="6" t="s">
        <v>181</v>
      </c>
      <c r="F37" s="6" t="s">
        <v>182</v>
      </c>
      <c r="G37" s="2" t="s">
        <v>164</v>
      </c>
      <c r="H37" s="1" t="s">
        <v>83</v>
      </c>
      <c r="I37" s="1" t="s">
        <v>84</v>
      </c>
      <c r="J37" s="7" t="s">
        <v>78</v>
      </c>
      <c r="K37" s="11">
        <v>66207</v>
      </c>
      <c r="L37" s="3"/>
      <c r="M37" s="17">
        <v>0.1875</v>
      </c>
      <c r="N37" s="18">
        <f t="shared" si="0"/>
        <v>500</v>
      </c>
      <c r="O37" s="18">
        <f t="shared" si="1"/>
        <v>0</v>
      </c>
      <c r="P37" s="19"/>
      <c r="Q37" s="12"/>
      <c r="R37" s="3"/>
      <c r="S37" s="3" t="s">
        <v>220</v>
      </c>
      <c r="T37" s="12"/>
    </row>
    <row r="38" spans="1:20" ht="42.75" x14ac:dyDescent="0.45">
      <c r="A38" s="6" t="s">
        <v>178</v>
      </c>
      <c r="B38" s="6">
        <v>2025002522</v>
      </c>
      <c r="C38" s="6" t="s">
        <v>179</v>
      </c>
      <c r="D38" s="6" t="s">
        <v>180</v>
      </c>
      <c r="E38" s="6" t="s">
        <v>181</v>
      </c>
      <c r="F38" s="6" t="s">
        <v>182</v>
      </c>
      <c r="G38" s="2" t="s">
        <v>165</v>
      </c>
      <c r="H38" s="1" t="s">
        <v>35</v>
      </c>
      <c r="I38" s="1" t="s">
        <v>36</v>
      </c>
      <c r="J38" s="7" t="s">
        <v>37</v>
      </c>
      <c r="K38" s="11">
        <v>72023</v>
      </c>
      <c r="L38" s="3"/>
      <c r="M38" s="17">
        <v>0.1875</v>
      </c>
      <c r="N38" s="18">
        <f t="shared" si="0"/>
        <v>500</v>
      </c>
      <c r="O38" s="18">
        <f t="shared" si="1"/>
        <v>0</v>
      </c>
      <c r="P38" s="19"/>
      <c r="Q38" s="12"/>
      <c r="R38" s="3"/>
      <c r="S38" s="3" t="s">
        <v>218</v>
      </c>
      <c r="T38" s="12" t="s">
        <v>224</v>
      </c>
    </row>
    <row r="39" spans="1:20" ht="42.75" x14ac:dyDescent="0.45">
      <c r="A39" s="6" t="s">
        <v>178</v>
      </c>
      <c r="B39" s="6">
        <v>2025002522</v>
      </c>
      <c r="C39" s="6" t="s">
        <v>179</v>
      </c>
      <c r="D39" s="6" t="s">
        <v>180</v>
      </c>
      <c r="E39" s="6" t="s">
        <v>181</v>
      </c>
      <c r="F39" s="6" t="s">
        <v>182</v>
      </c>
      <c r="G39" s="2" t="s">
        <v>166</v>
      </c>
      <c r="H39" s="1" t="s">
        <v>71</v>
      </c>
      <c r="I39" s="1" t="s">
        <v>72</v>
      </c>
      <c r="J39" s="7" t="s">
        <v>7</v>
      </c>
      <c r="K39" s="11">
        <v>79758</v>
      </c>
      <c r="L39" s="3"/>
      <c r="M39" s="17">
        <v>0.1875</v>
      </c>
      <c r="N39" s="18">
        <f t="shared" si="0"/>
        <v>500</v>
      </c>
      <c r="O39" s="18">
        <f t="shared" si="1"/>
        <v>0</v>
      </c>
      <c r="P39" s="19"/>
      <c r="Q39" s="12"/>
      <c r="R39" s="3"/>
      <c r="S39" s="3" t="s">
        <v>218</v>
      </c>
      <c r="T39" s="12"/>
    </row>
    <row r="40" spans="1:20" ht="42.75" x14ac:dyDescent="0.45">
      <c r="A40" s="6" t="s">
        <v>178</v>
      </c>
      <c r="B40" s="6">
        <v>2025002522</v>
      </c>
      <c r="C40" s="6" t="s">
        <v>179</v>
      </c>
      <c r="D40" s="6" t="s">
        <v>180</v>
      </c>
      <c r="E40" s="6" t="s">
        <v>181</v>
      </c>
      <c r="F40" s="6" t="s">
        <v>182</v>
      </c>
      <c r="G40" s="2" t="s">
        <v>167</v>
      </c>
      <c r="H40" s="1" t="s">
        <v>88</v>
      </c>
      <c r="I40" s="1" t="s">
        <v>69</v>
      </c>
      <c r="J40" s="7" t="s">
        <v>70</v>
      </c>
      <c r="K40" s="11">
        <v>87401</v>
      </c>
      <c r="L40" s="3"/>
      <c r="M40" s="17">
        <v>0.1875</v>
      </c>
      <c r="N40" s="18">
        <f t="shared" si="0"/>
        <v>500</v>
      </c>
      <c r="O40" s="18">
        <f t="shared" si="1"/>
        <v>0</v>
      </c>
      <c r="P40" s="19"/>
      <c r="Q40" s="12"/>
      <c r="R40" s="3"/>
      <c r="S40" s="3" t="s">
        <v>223</v>
      </c>
      <c r="T40" s="12"/>
    </row>
    <row r="41" spans="1:20" ht="42.75" x14ac:dyDescent="0.45">
      <c r="A41" s="6" t="s">
        <v>178</v>
      </c>
      <c r="B41" s="6">
        <v>2025002522</v>
      </c>
      <c r="C41" s="6" t="s">
        <v>179</v>
      </c>
      <c r="D41" s="6" t="s">
        <v>180</v>
      </c>
      <c r="E41" s="6" t="s">
        <v>181</v>
      </c>
      <c r="F41" s="6" t="s">
        <v>182</v>
      </c>
      <c r="G41" s="2" t="s">
        <v>168</v>
      </c>
      <c r="H41" s="1" t="s">
        <v>89</v>
      </c>
      <c r="I41" s="1" t="s">
        <v>90</v>
      </c>
      <c r="J41" s="7" t="s">
        <v>6</v>
      </c>
      <c r="K41" s="11">
        <v>74019</v>
      </c>
      <c r="L41" s="3"/>
      <c r="M41" s="17">
        <v>0.1875</v>
      </c>
      <c r="N41" s="18">
        <f t="shared" si="0"/>
        <v>500</v>
      </c>
      <c r="O41" s="18">
        <f t="shared" si="1"/>
        <v>0</v>
      </c>
      <c r="P41" s="19"/>
      <c r="Q41" s="12"/>
      <c r="R41" s="3"/>
      <c r="S41" s="3" t="s">
        <v>225</v>
      </c>
      <c r="T41" s="12"/>
    </row>
    <row r="42" spans="1:20" ht="42.75" x14ac:dyDescent="0.45">
      <c r="A42" s="6" t="s">
        <v>178</v>
      </c>
      <c r="B42" s="6">
        <v>2025002522</v>
      </c>
      <c r="C42" s="6" t="s">
        <v>179</v>
      </c>
      <c r="D42" s="6" t="s">
        <v>180</v>
      </c>
      <c r="E42" s="6" t="s">
        <v>181</v>
      </c>
      <c r="F42" s="6" t="s">
        <v>182</v>
      </c>
      <c r="G42" s="2" t="s">
        <v>91</v>
      </c>
      <c r="H42" s="1" t="s">
        <v>92</v>
      </c>
      <c r="I42" s="1" t="s">
        <v>93</v>
      </c>
      <c r="J42" s="7" t="s">
        <v>6</v>
      </c>
      <c r="K42" s="11">
        <v>73702</v>
      </c>
      <c r="L42" s="3"/>
      <c r="M42" s="17">
        <v>0.1875</v>
      </c>
      <c r="N42" s="18">
        <f t="shared" si="0"/>
        <v>500</v>
      </c>
      <c r="O42" s="18">
        <f t="shared" si="1"/>
        <v>0</v>
      </c>
      <c r="P42" s="19"/>
      <c r="Q42" s="12"/>
      <c r="R42" s="3"/>
      <c r="S42" s="3" t="s">
        <v>227</v>
      </c>
      <c r="T42" s="12" t="s">
        <v>226</v>
      </c>
    </row>
    <row r="43" spans="1:20" ht="28.5" x14ac:dyDescent="0.45">
      <c r="A43" s="6" t="s">
        <v>178</v>
      </c>
      <c r="B43" s="6">
        <v>2025002522</v>
      </c>
      <c r="C43" s="6" t="s">
        <v>179</v>
      </c>
      <c r="D43" s="6" t="s">
        <v>180</v>
      </c>
      <c r="E43" s="6" t="s">
        <v>181</v>
      </c>
      <c r="F43" s="6" t="s">
        <v>182</v>
      </c>
      <c r="G43" s="2" t="s">
        <v>79</v>
      </c>
      <c r="H43" s="1" t="s">
        <v>80</v>
      </c>
      <c r="I43" s="1" t="s">
        <v>81</v>
      </c>
      <c r="J43" s="7" t="s">
        <v>82</v>
      </c>
      <c r="K43" s="11">
        <v>30265</v>
      </c>
      <c r="L43" s="3"/>
      <c r="M43" s="17">
        <v>0.1875</v>
      </c>
      <c r="N43" s="18">
        <f t="shared" si="0"/>
        <v>500</v>
      </c>
      <c r="O43" s="18">
        <f t="shared" si="1"/>
        <v>0</v>
      </c>
      <c r="P43" s="19"/>
      <c r="Q43" s="12"/>
      <c r="R43" s="3"/>
      <c r="S43" s="3" t="s">
        <v>216</v>
      </c>
      <c r="T43" s="12"/>
    </row>
    <row r="44" spans="1:20" ht="28.5" x14ac:dyDescent="0.45">
      <c r="A44" s="6" t="s">
        <v>178</v>
      </c>
      <c r="B44" s="6">
        <v>2025002522</v>
      </c>
      <c r="C44" s="6" t="s">
        <v>179</v>
      </c>
      <c r="D44" s="6" t="s">
        <v>180</v>
      </c>
      <c r="E44" s="6" t="s">
        <v>181</v>
      </c>
      <c r="F44" s="6" t="s">
        <v>182</v>
      </c>
      <c r="G44" s="2" t="s">
        <v>94</v>
      </c>
      <c r="H44" s="1" t="s">
        <v>95</v>
      </c>
      <c r="I44" s="1" t="s">
        <v>5</v>
      </c>
      <c r="J44" s="7" t="s">
        <v>6</v>
      </c>
      <c r="K44" s="11">
        <v>73003</v>
      </c>
      <c r="L44" s="3"/>
      <c r="M44" s="17">
        <v>0.1875</v>
      </c>
      <c r="N44" s="18">
        <f t="shared" si="0"/>
        <v>500</v>
      </c>
      <c r="O44" s="18">
        <f t="shared" si="1"/>
        <v>0</v>
      </c>
      <c r="P44" s="19"/>
      <c r="Q44" s="12"/>
      <c r="R44" s="3"/>
      <c r="S44" s="3" t="s">
        <v>228</v>
      </c>
      <c r="T44" s="12" t="s">
        <v>229</v>
      </c>
    </row>
    <row r="45" spans="1:20" ht="28.5" x14ac:dyDescent="0.45">
      <c r="A45" s="6" t="s">
        <v>178</v>
      </c>
      <c r="B45" s="6">
        <v>2025002522</v>
      </c>
      <c r="C45" s="6" t="s">
        <v>179</v>
      </c>
      <c r="D45" s="6" t="s">
        <v>180</v>
      </c>
      <c r="E45" s="6" t="s">
        <v>181</v>
      </c>
      <c r="F45" s="6" t="s">
        <v>182</v>
      </c>
      <c r="G45" s="3" t="s">
        <v>153</v>
      </c>
      <c r="H45" s="1" t="s">
        <v>96</v>
      </c>
      <c r="I45" s="1" t="s">
        <v>5</v>
      </c>
      <c r="J45" s="7" t="s">
        <v>6</v>
      </c>
      <c r="K45" s="11">
        <v>73034</v>
      </c>
      <c r="L45" s="3"/>
      <c r="M45" s="17">
        <v>0.1875</v>
      </c>
      <c r="N45" s="18">
        <f t="shared" si="0"/>
        <v>500</v>
      </c>
      <c r="O45" s="18">
        <f t="shared" si="1"/>
        <v>0</v>
      </c>
      <c r="P45" s="19"/>
      <c r="Q45" s="12"/>
      <c r="R45" s="3"/>
      <c r="S45" s="3" t="s">
        <v>230</v>
      </c>
      <c r="T45" s="12"/>
    </row>
    <row r="46" spans="1:20" ht="28.5" x14ac:dyDescent="0.45">
      <c r="A46" s="6" t="s">
        <v>178</v>
      </c>
      <c r="B46" s="6">
        <v>2025002522</v>
      </c>
      <c r="C46" s="6" t="s">
        <v>179</v>
      </c>
      <c r="D46" s="6" t="s">
        <v>180</v>
      </c>
      <c r="E46" s="6" t="s">
        <v>181</v>
      </c>
      <c r="F46" s="6" t="s">
        <v>182</v>
      </c>
      <c r="G46" s="2" t="s">
        <v>97</v>
      </c>
      <c r="H46" s="1" t="s">
        <v>98</v>
      </c>
      <c r="I46" s="1" t="s">
        <v>24</v>
      </c>
      <c r="J46" s="7" t="s">
        <v>7</v>
      </c>
      <c r="K46" s="11">
        <v>78753</v>
      </c>
      <c r="L46" s="3"/>
      <c r="M46" s="17">
        <v>0.1875</v>
      </c>
      <c r="N46" s="18">
        <f t="shared" si="0"/>
        <v>500</v>
      </c>
      <c r="O46" s="18">
        <f t="shared" si="1"/>
        <v>0</v>
      </c>
      <c r="P46" s="19"/>
      <c r="Q46" s="12"/>
      <c r="R46" s="3"/>
      <c r="S46" s="3" t="s">
        <v>231</v>
      </c>
      <c r="T46" s="12"/>
    </row>
    <row r="47" spans="1:20" ht="28.5" x14ac:dyDescent="0.45">
      <c r="A47" s="6" t="s">
        <v>178</v>
      </c>
      <c r="B47" s="6">
        <v>2025002522</v>
      </c>
      <c r="C47" s="6" t="s">
        <v>179</v>
      </c>
      <c r="D47" s="6" t="s">
        <v>180</v>
      </c>
      <c r="E47" s="6" t="s">
        <v>181</v>
      </c>
      <c r="F47" s="6" t="s">
        <v>182</v>
      </c>
      <c r="G47" s="2" t="s">
        <v>97</v>
      </c>
      <c r="H47" s="1" t="s">
        <v>99</v>
      </c>
      <c r="I47" s="1" t="s">
        <v>24</v>
      </c>
      <c r="J47" s="7" t="s">
        <v>7</v>
      </c>
      <c r="K47" s="11">
        <v>78723</v>
      </c>
      <c r="L47" s="3"/>
      <c r="M47" s="17">
        <v>0.1875</v>
      </c>
      <c r="N47" s="18">
        <f t="shared" si="0"/>
        <v>500</v>
      </c>
      <c r="O47" s="18">
        <f t="shared" si="1"/>
        <v>0</v>
      </c>
      <c r="P47" s="19"/>
      <c r="Q47" s="12"/>
      <c r="R47" s="3"/>
      <c r="S47" s="3" t="s">
        <v>231</v>
      </c>
      <c r="T47" s="12"/>
    </row>
    <row r="48" spans="1:20" ht="28.5" x14ac:dyDescent="0.45">
      <c r="A48" s="6" t="s">
        <v>178</v>
      </c>
      <c r="B48" s="6">
        <v>2025002522</v>
      </c>
      <c r="C48" s="6" t="s">
        <v>179</v>
      </c>
      <c r="D48" s="6" t="s">
        <v>180</v>
      </c>
      <c r="E48" s="6" t="s">
        <v>181</v>
      </c>
      <c r="F48" s="6" t="s">
        <v>182</v>
      </c>
      <c r="G48" s="2" t="s">
        <v>100</v>
      </c>
      <c r="H48" s="1" t="s">
        <v>101</v>
      </c>
      <c r="I48" s="1" t="s">
        <v>102</v>
      </c>
      <c r="J48" s="7" t="s">
        <v>7</v>
      </c>
      <c r="K48" s="11">
        <v>75074</v>
      </c>
      <c r="L48" s="3"/>
      <c r="M48" s="17">
        <v>0.1875</v>
      </c>
      <c r="N48" s="18">
        <f t="shared" si="0"/>
        <v>500</v>
      </c>
      <c r="O48" s="18">
        <f t="shared" si="1"/>
        <v>0</v>
      </c>
      <c r="P48" s="19"/>
      <c r="Q48" s="12"/>
      <c r="R48" s="3"/>
      <c r="S48" s="3" t="s">
        <v>237</v>
      </c>
      <c r="T48" s="12"/>
    </row>
    <row r="49" spans="1:20" ht="57" x14ac:dyDescent="0.45">
      <c r="A49" s="6" t="s">
        <v>178</v>
      </c>
      <c r="B49" s="6">
        <v>2025002522</v>
      </c>
      <c r="C49" s="6" t="s">
        <v>179</v>
      </c>
      <c r="D49" s="6" t="s">
        <v>180</v>
      </c>
      <c r="E49" s="6" t="s">
        <v>181</v>
      </c>
      <c r="F49" s="6" t="s">
        <v>182</v>
      </c>
      <c r="G49" s="3" t="s">
        <v>154</v>
      </c>
      <c r="H49" s="1" t="s">
        <v>103</v>
      </c>
      <c r="I49" s="1" t="s">
        <v>104</v>
      </c>
      <c r="J49" s="7" t="s">
        <v>6</v>
      </c>
      <c r="K49" s="11">
        <v>74063</v>
      </c>
      <c r="L49" s="3"/>
      <c r="M49" s="17">
        <v>0.1875</v>
      </c>
      <c r="N49" s="18">
        <f t="shared" si="0"/>
        <v>500</v>
      </c>
      <c r="O49" s="18">
        <f t="shared" si="1"/>
        <v>0</v>
      </c>
      <c r="P49" s="19"/>
      <c r="Q49" s="12"/>
      <c r="R49" s="3"/>
      <c r="S49" s="3" t="s">
        <v>238</v>
      </c>
      <c r="T49" s="12"/>
    </row>
    <row r="50" spans="1:20" ht="57" x14ac:dyDescent="0.45">
      <c r="A50" s="6" t="s">
        <v>178</v>
      </c>
      <c r="B50" s="6">
        <v>2025002522</v>
      </c>
      <c r="C50" s="6" t="s">
        <v>179</v>
      </c>
      <c r="D50" s="6" t="s">
        <v>180</v>
      </c>
      <c r="E50" s="6" t="s">
        <v>181</v>
      </c>
      <c r="F50" s="6" t="s">
        <v>182</v>
      </c>
      <c r="G50" s="3" t="s">
        <v>154</v>
      </c>
      <c r="H50" s="1" t="s">
        <v>105</v>
      </c>
      <c r="I50" s="1" t="s">
        <v>63</v>
      </c>
      <c r="J50" s="7" t="s">
        <v>6</v>
      </c>
      <c r="K50" s="11">
        <v>74101</v>
      </c>
      <c r="L50" s="3"/>
      <c r="M50" s="17">
        <v>0.1875</v>
      </c>
      <c r="N50" s="18">
        <f t="shared" si="0"/>
        <v>500</v>
      </c>
      <c r="O50" s="18">
        <f t="shared" si="1"/>
        <v>0</v>
      </c>
      <c r="P50" s="19"/>
      <c r="Q50" s="12"/>
      <c r="R50" s="3"/>
      <c r="S50" s="3" t="s">
        <v>238</v>
      </c>
      <c r="T50" s="12"/>
    </row>
    <row r="51" spans="1:20" ht="28.5" x14ac:dyDescent="0.45">
      <c r="A51" s="6" t="s">
        <v>178</v>
      </c>
      <c r="B51" s="6">
        <v>2025002522</v>
      </c>
      <c r="C51" s="6" t="s">
        <v>179</v>
      </c>
      <c r="D51" s="6" t="s">
        <v>180</v>
      </c>
      <c r="E51" s="6" t="s">
        <v>181</v>
      </c>
      <c r="F51" s="6" t="s">
        <v>182</v>
      </c>
      <c r="G51" s="2" t="s">
        <v>106</v>
      </c>
      <c r="H51" s="1" t="s">
        <v>107</v>
      </c>
      <c r="I51" s="1" t="s">
        <v>108</v>
      </c>
      <c r="J51" s="7" t="s">
        <v>21</v>
      </c>
      <c r="K51" s="11">
        <v>94601</v>
      </c>
      <c r="L51" s="3"/>
      <c r="M51" s="17">
        <v>0.1875</v>
      </c>
      <c r="N51" s="18">
        <f t="shared" si="0"/>
        <v>500</v>
      </c>
      <c r="O51" s="18">
        <f t="shared" si="1"/>
        <v>0</v>
      </c>
      <c r="P51" s="19"/>
      <c r="Q51" s="12"/>
      <c r="R51" s="3"/>
      <c r="S51" s="3" t="s">
        <v>232</v>
      </c>
      <c r="T51" s="12"/>
    </row>
    <row r="52" spans="1:20" ht="42.75" x14ac:dyDescent="0.45">
      <c r="A52" s="6" t="s">
        <v>178</v>
      </c>
      <c r="B52" s="6">
        <v>2025002522</v>
      </c>
      <c r="C52" s="6" t="s">
        <v>179</v>
      </c>
      <c r="D52" s="6" t="s">
        <v>180</v>
      </c>
      <c r="E52" s="6" t="s">
        <v>181</v>
      </c>
      <c r="F52" s="6" t="s">
        <v>182</v>
      </c>
      <c r="G52" s="2" t="s">
        <v>109</v>
      </c>
      <c r="H52" s="1" t="s">
        <v>110</v>
      </c>
      <c r="I52" s="1" t="s">
        <v>111</v>
      </c>
      <c r="J52" s="7" t="s">
        <v>6</v>
      </c>
      <c r="K52" s="11">
        <v>73439</v>
      </c>
      <c r="L52" s="3"/>
      <c r="M52" s="17">
        <v>0.1875</v>
      </c>
      <c r="N52" s="18">
        <f t="shared" si="0"/>
        <v>500</v>
      </c>
      <c r="O52" s="18">
        <f t="shared" si="1"/>
        <v>0</v>
      </c>
      <c r="P52" s="19"/>
      <c r="Q52" s="12"/>
      <c r="R52" s="3"/>
      <c r="S52" s="3" t="s">
        <v>233</v>
      </c>
      <c r="T52" s="12"/>
    </row>
    <row r="53" spans="1:20" ht="42.75" x14ac:dyDescent="0.45">
      <c r="A53" s="6" t="s">
        <v>178</v>
      </c>
      <c r="B53" s="6">
        <v>2025002522</v>
      </c>
      <c r="C53" s="6" t="s">
        <v>179</v>
      </c>
      <c r="D53" s="6" t="s">
        <v>180</v>
      </c>
      <c r="E53" s="6" t="s">
        <v>181</v>
      </c>
      <c r="F53" s="6" t="s">
        <v>182</v>
      </c>
      <c r="G53" s="2" t="s">
        <v>109</v>
      </c>
      <c r="H53" s="1" t="s">
        <v>112</v>
      </c>
      <c r="I53" s="1" t="s">
        <v>15</v>
      </c>
      <c r="J53" s="7" t="s">
        <v>6</v>
      </c>
      <c r="K53" s="11">
        <v>73401</v>
      </c>
      <c r="L53" s="3"/>
      <c r="M53" s="17">
        <v>0.1875</v>
      </c>
      <c r="N53" s="18">
        <f t="shared" si="0"/>
        <v>500</v>
      </c>
      <c r="O53" s="18">
        <f t="shared" si="1"/>
        <v>0</v>
      </c>
      <c r="P53" s="19"/>
      <c r="Q53" s="12"/>
      <c r="R53" s="3"/>
      <c r="S53" s="3" t="s">
        <v>233</v>
      </c>
      <c r="T53" s="12"/>
    </row>
    <row r="54" spans="1:20" ht="42.75" x14ac:dyDescent="0.45">
      <c r="A54" s="6" t="s">
        <v>178</v>
      </c>
      <c r="B54" s="6">
        <v>2025002522</v>
      </c>
      <c r="C54" s="6" t="s">
        <v>179</v>
      </c>
      <c r="D54" s="6" t="s">
        <v>180</v>
      </c>
      <c r="E54" s="6" t="s">
        <v>181</v>
      </c>
      <c r="F54" s="6" t="s">
        <v>182</v>
      </c>
      <c r="G54" s="2" t="s">
        <v>113</v>
      </c>
      <c r="H54" s="1" t="s">
        <v>114</v>
      </c>
      <c r="I54" s="1" t="s">
        <v>115</v>
      </c>
      <c r="J54" s="7" t="s">
        <v>37</v>
      </c>
      <c r="K54" s="11">
        <v>71909</v>
      </c>
      <c r="L54" s="3"/>
      <c r="M54" s="17">
        <v>0.1875</v>
      </c>
      <c r="N54" s="18">
        <f t="shared" si="0"/>
        <v>500</v>
      </c>
      <c r="O54" s="18">
        <f t="shared" si="1"/>
        <v>0</v>
      </c>
      <c r="P54" s="19"/>
      <c r="Q54" s="12"/>
      <c r="R54" s="3"/>
      <c r="S54" s="3" t="s">
        <v>234</v>
      </c>
      <c r="T54" s="12" t="s">
        <v>240</v>
      </c>
    </row>
    <row r="55" spans="1:20" ht="42.75" x14ac:dyDescent="0.45">
      <c r="A55" s="6" t="s">
        <v>178</v>
      </c>
      <c r="B55" s="6">
        <v>2025002522</v>
      </c>
      <c r="C55" s="6" t="s">
        <v>179</v>
      </c>
      <c r="D55" s="6" t="s">
        <v>180</v>
      </c>
      <c r="E55" s="6" t="s">
        <v>181</v>
      </c>
      <c r="F55" s="6" t="s">
        <v>182</v>
      </c>
      <c r="G55" s="2" t="s">
        <v>113</v>
      </c>
      <c r="H55" s="1" t="s">
        <v>116</v>
      </c>
      <c r="I55" s="1" t="s">
        <v>60</v>
      </c>
      <c r="J55" s="7" t="s">
        <v>7</v>
      </c>
      <c r="K55" s="11">
        <v>76137</v>
      </c>
      <c r="L55" s="3"/>
      <c r="M55" s="17">
        <v>0.1875</v>
      </c>
      <c r="N55" s="18">
        <f t="shared" si="0"/>
        <v>500</v>
      </c>
      <c r="O55" s="18">
        <f t="shared" si="1"/>
        <v>0</v>
      </c>
      <c r="P55" s="19"/>
      <c r="Q55" s="12"/>
      <c r="R55" s="3"/>
      <c r="S55" s="3" t="s">
        <v>234</v>
      </c>
      <c r="T55" s="12" t="s">
        <v>240</v>
      </c>
    </row>
    <row r="56" spans="1:20" ht="42.75" x14ac:dyDescent="0.45">
      <c r="A56" s="6" t="s">
        <v>178</v>
      </c>
      <c r="B56" s="6">
        <v>2025002522</v>
      </c>
      <c r="C56" s="6" t="s">
        <v>179</v>
      </c>
      <c r="D56" s="6" t="s">
        <v>180</v>
      </c>
      <c r="E56" s="6" t="s">
        <v>181</v>
      </c>
      <c r="F56" s="6" t="s">
        <v>182</v>
      </c>
      <c r="G56" s="2" t="s">
        <v>117</v>
      </c>
      <c r="H56" s="1" t="s">
        <v>118</v>
      </c>
      <c r="I56" s="1" t="s">
        <v>60</v>
      </c>
      <c r="J56" s="7" t="s">
        <v>7</v>
      </c>
      <c r="K56" s="11">
        <v>76112</v>
      </c>
      <c r="L56" s="3"/>
      <c r="M56" s="17">
        <v>0.1875</v>
      </c>
      <c r="N56" s="18">
        <f t="shared" si="0"/>
        <v>500</v>
      </c>
      <c r="O56" s="18">
        <f t="shared" si="1"/>
        <v>0</v>
      </c>
      <c r="P56" s="19"/>
      <c r="Q56" s="12"/>
      <c r="R56" s="3"/>
      <c r="S56" s="3" t="s">
        <v>235</v>
      </c>
      <c r="T56" s="12"/>
    </row>
    <row r="57" spans="1:20" ht="28.5" x14ac:dyDescent="0.45">
      <c r="A57" s="6" t="s">
        <v>178</v>
      </c>
      <c r="B57" s="6">
        <v>2025002522</v>
      </c>
      <c r="C57" s="6" t="s">
        <v>179</v>
      </c>
      <c r="D57" s="6" t="s">
        <v>180</v>
      </c>
      <c r="E57" s="6" t="s">
        <v>181</v>
      </c>
      <c r="F57" s="6" t="s">
        <v>182</v>
      </c>
      <c r="G57" s="2" t="s">
        <v>119</v>
      </c>
      <c r="H57" s="1" t="s">
        <v>120</v>
      </c>
      <c r="I57" s="1" t="s">
        <v>63</v>
      </c>
      <c r="J57" s="7" t="s">
        <v>6</v>
      </c>
      <c r="K57" s="11">
        <v>74170</v>
      </c>
      <c r="L57" s="3"/>
      <c r="M57" s="17">
        <v>0.1875</v>
      </c>
      <c r="N57" s="18">
        <f t="shared" si="0"/>
        <v>500</v>
      </c>
      <c r="O57" s="18">
        <f t="shared" si="1"/>
        <v>0</v>
      </c>
      <c r="P57" s="19"/>
      <c r="Q57" s="12"/>
      <c r="R57" s="3"/>
      <c r="S57" s="3" t="s">
        <v>241</v>
      </c>
      <c r="T57" s="12"/>
    </row>
    <row r="58" spans="1:20" ht="28.5" x14ac:dyDescent="0.45">
      <c r="A58" s="6" t="s">
        <v>178</v>
      </c>
      <c r="B58" s="6">
        <v>2025002522</v>
      </c>
      <c r="C58" s="6" t="s">
        <v>179</v>
      </c>
      <c r="D58" s="6" t="s">
        <v>180</v>
      </c>
      <c r="E58" s="6" t="s">
        <v>181</v>
      </c>
      <c r="F58" s="6" t="s">
        <v>182</v>
      </c>
      <c r="G58" s="2" t="s">
        <v>121</v>
      </c>
      <c r="H58" s="1" t="s">
        <v>122</v>
      </c>
      <c r="I58" s="1" t="s">
        <v>123</v>
      </c>
      <c r="J58" s="7" t="s">
        <v>21</v>
      </c>
      <c r="K58" s="11">
        <v>93035</v>
      </c>
      <c r="L58" s="3"/>
      <c r="M58" s="17">
        <v>0.1875</v>
      </c>
      <c r="N58" s="18">
        <f t="shared" si="0"/>
        <v>500</v>
      </c>
      <c r="O58" s="18">
        <f t="shared" si="1"/>
        <v>0</v>
      </c>
      <c r="P58" s="19"/>
      <c r="Q58" s="12"/>
      <c r="R58" s="3"/>
      <c r="S58" s="3" t="s">
        <v>243</v>
      </c>
      <c r="T58" s="12"/>
    </row>
    <row r="59" spans="1:20" ht="42.75" x14ac:dyDescent="0.45">
      <c r="A59" s="6" t="s">
        <v>178</v>
      </c>
      <c r="B59" s="6">
        <v>2025002522</v>
      </c>
      <c r="C59" s="6" t="s">
        <v>179</v>
      </c>
      <c r="D59" s="6" t="s">
        <v>180</v>
      </c>
      <c r="E59" s="6" t="s">
        <v>181</v>
      </c>
      <c r="F59" s="6" t="s">
        <v>182</v>
      </c>
      <c r="G59" s="2" t="s">
        <v>124</v>
      </c>
      <c r="H59" s="1" t="s">
        <v>125</v>
      </c>
      <c r="I59" s="1" t="s">
        <v>8</v>
      </c>
      <c r="J59" s="7" t="s">
        <v>6</v>
      </c>
      <c r="K59" s="11">
        <v>73142</v>
      </c>
      <c r="L59" s="3"/>
      <c r="M59" s="17">
        <v>0.1875</v>
      </c>
      <c r="N59" s="18">
        <f t="shared" si="0"/>
        <v>500</v>
      </c>
      <c r="O59" s="18">
        <f t="shared" si="1"/>
        <v>0</v>
      </c>
      <c r="P59" s="19"/>
      <c r="Q59" s="12"/>
      <c r="R59" s="3"/>
      <c r="S59" s="3" t="s">
        <v>236</v>
      </c>
      <c r="T59" s="12"/>
    </row>
    <row r="60" spans="1:20" ht="42.75" x14ac:dyDescent="0.45">
      <c r="A60" s="6" t="s">
        <v>178</v>
      </c>
      <c r="B60" s="6">
        <v>2025002522</v>
      </c>
      <c r="C60" s="6" t="s">
        <v>179</v>
      </c>
      <c r="D60" s="6" t="s">
        <v>180</v>
      </c>
      <c r="E60" s="6" t="s">
        <v>181</v>
      </c>
      <c r="F60" s="6" t="s">
        <v>182</v>
      </c>
      <c r="G60" s="2" t="s">
        <v>244</v>
      </c>
      <c r="H60" s="1" t="s">
        <v>127</v>
      </c>
      <c r="I60" s="1" t="s">
        <v>60</v>
      </c>
      <c r="J60" s="7" t="s">
        <v>7</v>
      </c>
      <c r="K60" s="11">
        <v>76131</v>
      </c>
      <c r="L60" s="3"/>
      <c r="M60" s="17">
        <v>0.1875</v>
      </c>
      <c r="N60" s="18">
        <f t="shared" si="0"/>
        <v>500</v>
      </c>
      <c r="O60" s="18">
        <f t="shared" si="1"/>
        <v>0</v>
      </c>
      <c r="P60" s="19"/>
      <c r="Q60" s="12"/>
      <c r="R60" s="3"/>
      <c r="S60" s="3" t="s">
        <v>245</v>
      </c>
      <c r="T60" s="12"/>
    </row>
    <row r="61" spans="1:20" ht="71.25" x14ac:dyDescent="0.45">
      <c r="A61" s="6" t="s">
        <v>178</v>
      </c>
      <c r="B61" s="6">
        <v>2025002522</v>
      </c>
      <c r="C61" s="6" t="s">
        <v>179</v>
      </c>
      <c r="D61" s="6" t="s">
        <v>180</v>
      </c>
      <c r="E61" s="6" t="s">
        <v>181</v>
      </c>
      <c r="F61" s="6" t="s">
        <v>182</v>
      </c>
      <c r="G61" s="2" t="s">
        <v>246</v>
      </c>
      <c r="H61" s="1" t="s">
        <v>128</v>
      </c>
      <c r="I61" s="1" t="s">
        <v>129</v>
      </c>
      <c r="J61" s="7" t="s">
        <v>6</v>
      </c>
      <c r="K61" s="11">
        <v>73038</v>
      </c>
      <c r="L61" s="3"/>
      <c r="M61" s="17">
        <v>0.1875</v>
      </c>
      <c r="N61" s="18">
        <f t="shared" si="0"/>
        <v>500</v>
      </c>
      <c r="O61" s="18">
        <f t="shared" si="1"/>
        <v>0</v>
      </c>
      <c r="P61" s="19"/>
      <c r="Q61" s="12"/>
      <c r="R61" s="3"/>
      <c r="S61" s="3" t="s">
        <v>247</v>
      </c>
      <c r="T61" s="12"/>
    </row>
    <row r="62" spans="1:20" ht="42.75" x14ac:dyDescent="0.45">
      <c r="A62" s="6" t="s">
        <v>178</v>
      </c>
      <c r="B62" s="6">
        <v>2025002522</v>
      </c>
      <c r="C62" s="6" t="s">
        <v>179</v>
      </c>
      <c r="D62" s="6" t="s">
        <v>180</v>
      </c>
      <c r="E62" s="6" t="s">
        <v>181</v>
      </c>
      <c r="F62" s="6" t="s">
        <v>182</v>
      </c>
      <c r="G62" s="2" t="s">
        <v>130</v>
      </c>
      <c r="H62" s="1" t="s">
        <v>131</v>
      </c>
      <c r="I62" s="1" t="s">
        <v>8</v>
      </c>
      <c r="J62" s="7" t="s">
        <v>6</v>
      </c>
      <c r="K62" s="11">
        <v>73118</v>
      </c>
      <c r="L62" s="3"/>
      <c r="M62" s="17">
        <v>0.1875</v>
      </c>
      <c r="N62" s="18">
        <f t="shared" si="0"/>
        <v>500</v>
      </c>
      <c r="O62" s="18">
        <f t="shared" si="1"/>
        <v>0</v>
      </c>
      <c r="P62" s="19"/>
      <c r="Q62" s="12"/>
      <c r="R62" s="3"/>
      <c r="S62" s="3" t="s">
        <v>239</v>
      </c>
      <c r="T62" s="12"/>
    </row>
    <row r="63" spans="1:20" ht="42.75" x14ac:dyDescent="0.45">
      <c r="A63" s="6" t="s">
        <v>178</v>
      </c>
      <c r="B63" s="6">
        <v>2025002522</v>
      </c>
      <c r="C63" s="6" t="s">
        <v>179</v>
      </c>
      <c r="D63" s="6" t="s">
        <v>180</v>
      </c>
      <c r="E63" s="6" t="s">
        <v>181</v>
      </c>
      <c r="F63" s="6" t="s">
        <v>182</v>
      </c>
      <c r="G63" s="2" t="s">
        <v>169</v>
      </c>
      <c r="H63" s="1" t="s">
        <v>132</v>
      </c>
      <c r="I63" s="1" t="s">
        <v>104</v>
      </c>
      <c r="J63" s="7" t="s">
        <v>6</v>
      </c>
      <c r="K63" s="11">
        <v>74063</v>
      </c>
      <c r="L63" s="3"/>
      <c r="M63" s="17">
        <v>0.1875</v>
      </c>
      <c r="N63" s="18">
        <f t="shared" si="0"/>
        <v>500</v>
      </c>
      <c r="O63" s="18">
        <f t="shared" si="1"/>
        <v>0</v>
      </c>
      <c r="P63" s="19"/>
      <c r="Q63" s="12"/>
      <c r="R63" s="3"/>
      <c r="S63" s="3" t="s">
        <v>239</v>
      </c>
      <c r="T63" s="12"/>
    </row>
    <row r="64" spans="1:20" ht="57" x14ac:dyDescent="0.45">
      <c r="A64" s="6" t="s">
        <v>178</v>
      </c>
      <c r="B64" s="6">
        <v>2025002522</v>
      </c>
      <c r="C64" s="6" t="s">
        <v>179</v>
      </c>
      <c r="D64" s="6" t="s">
        <v>180</v>
      </c>
      <c r="E64" s="6" t="s">
        <v>181</v>
      </c>
      <c r="F64" s="6" t="s">
        <v>182</v>
      </c>
      <c r="G64" s="2" t="s">
        <v>133</v>
      </c>
      <c r="H64" s="1" t="s">
        <v>134</v>
      </c>
      <c r="I64" s="1" t="s">
        <v>14</v>
      </c>
      <c r="J64" s="7" t="s">
        <v>6</v>
      </c>
      <c r="K64" s="11">
        <v>73018</v>
      </c>
      <c r="L64" s="3"/>
      <c r="M64" s="17">
        <v>0.1875</v>
      </c>
      <c r="N64" s="18">
        <f t="shared" si="0"/>
        <v>500</v>
      </c>
      <c r="O64" s="18">
        <f t="shared" si="1"/>
        <v>0</v>
      </c>
      <c r="P64" s="19"/>
      <c r="Q64" s="12"/>
      <c r="R64" s="3"/>
      <c r="S64" s="3" t="s">
        <v>248</v>
      </c>
      <c r="T64" s="12"/>
    </row>
    <row r="65" spans="1:20" ht="57" x14ac:dyDescent="0.45">
      <c r="A65" s="6" t="s">
        <v>178</v>
      </c>
      <c r="B65" s="6">
        <v>2025002522</v>
      </c>
      <c r="C65" s="6" t="s">
        <v>179</v>
      </c>
      <c r="D65" s="6" t="s">
        <v>180</v>
      </c>
      <c r="E65" s="6" t="s">
        <v>181</v>
      </c>
      <c r="F65" s="6" t="s">
        <v>182</v>
      </c>
      <c r="G65" s="2" t="s">
        <v>170</v>
      </c>
      <c r="H65" s="1" t="s">
        <v>135</v>
      </c>
      <c r="I65" s="1" t="s">
        <v>5</v>
      </c>
      <c r="J65" s="7" t="s">
        <v>6</v>
      </c>
      <c r="K65" s="11">
        <v>73012</v>
      </c>
      <c r="L65" s="3"/>
      <c r="M65" s="17">
        <v>0.1875</v>
      </c>
      <c r="N65" s="18">
        <f t="shared" ref="N65:N74" si="2">SUM(VLOOKUP(M65, $M$1:$N$4, 2, FALSE))</f>
        <v>500</v>
      </c>
      <c r="O65" s="18">
        <f t="shared" ref="O65:O74" si="3">L65*N65</f>
        <v>0</v>
      </c>
      <c r="P65" s="19"/>
      <c r="Q65" s="12"/>
      <c r="R65" s="3"/>
      <c r="S65" s="3" t="s">
        <v>248</v>
      </c>
      <c r="T65" s="12"/>
    </row>
    <row r="66" spans="1:20" ht="28.5" x14ac:dyDescent="0.45">
      <c r="A66" s="6" t="s">
        <v>178</v>
      </c>
      <c r="B66" s="6">
        <v>2025002522</v>
      </c>
      <c r="C66" s="6" t="s">
        <v>179</v>
      </c>
      <c r="D66" s="6" t="s">
        <v>180</v>
      </c>
      <c r="E66" s="6" t="s">
        <v>181</v>
      </c>
      <c r="F66" s="6" t="s">
        <v>182</v>
      </c>
      <c r="G66" s="2" t="s">
        <v>171</v>
      </c>
      <c r="H66" s="1" t="s">
        <v>136</v>
      </c>
      <c r="I66" s="1" t="s">
        <v>137</v>
      </c>
      <c r="J66" s="7" t="s">
        <v>6</v>
      </c>
      <c r="K66" s="11">
        <v>73646</v>
      </c>
      <c r="L66" s="3"/>
      <c r="M66" s="17">
        <v>0.1875</v>
      </c>
      <c r="N66" s="18">
        <f t="shared" si="2"/>
        <v>500</v>
      </c>
      <c r="O66" s="18">
        <f t="shared" si="3"/>
        <v>0</v>
      </c>
      <c r="P66" s="19"/>
      <c r="Q66" s="12"/>
      <c r="R66" s="3"/>
      <c r="S66" s="3" t="s">
        <v>249</v>
      </c>
      <c r="T66" s="12"/>
    </row>
    <row r="67" spans="1:20" ht="28.5" x14ac:dyDescent="0.45">
      <c r="A67" s="6" t="s">
        <v>178</v>
      </c>
      <c r="B67" s="6">
        <v>2025002522</v>
      </c>
      <c r="C67" s="6" t="s">
        <v>179</v>
      </c>
      <c r="D67" s="6" t="s">
        <v>180</v>
      </c>
      <c r="E67" s="6" t="s">
        <v>181</v>
      </c>
      <c r="F67" s="6" t="s">
        <v>182</v>
      </c>
      <c r="G67" s="2" t="s">
        <v>138</v>
      </c>
      <c r="H67" s="1" t="s">
        <v>139</v>
      </c>
      <c r="I67" s="1" t="s">
        <v>16</v>
      </c>
      <c r="J67" s="7" t="s">
        <v>7</v>
      </c>
      <c r="K67" s="11">
        <v>75225</v>
      </c>
      <c r="L67" s="3"/>
      <c r="M67" s="17">
        <v>0.1875</v>
      </c>
      <c r="N67" s="18">
        <f t="shared" si="2"/>
        <v>500</v>
      </c>
      <c r="O67" s="18">
        <f t="shared" si="3"/>
        <v>0</v>
      </c>
      <c r="P67" s="19"/>
      <c r="Q67" s="12"/>
      <c r="R67" s="3"/>
      <c r="S67" s="3" t="s">
        <v>250</v>
      </c>
      <c r="T67" s="12" t="s">
        <v>251</v>
      </c>
    </row>
    <row r="68" spans="1:20" ht="57" x14ac:dyDescent="0.45">
      <c r="A68" s="6" t="s">
        <v>178</v>
      </c>
      <c r="B68" s="6">
        <v>2025002522</v>
      </c>
      <c r="C68" s="6" t="s">
        <v>179</v>
      </c>
      <c r="D68" s="6" t="s">
        <v>180</v>
      </c>
      <c r="E68" s="6" t="s">
        <v>181</v>
      </c>
      <c r="F68" s="6" t="s">
        <v>182</v>
      </c>
      <c r="G68" s="2" t="s">
        <v>140</v>
      </c>
      <c r="H68" s="1" t="s">
        <v>141</v>
      </c>
      <c r="I68" s="1" t="s">
        <v>142</v>
      </c>
      <c r="J68" s="7" t="s">
        <v>21</v>
      </c>
      <c r="K68" s="11">
        <v>90039</v>
      </c>
      <c r="L68" s="3"/>
      <c r="M68" s="17">
        <v>0.1875</v>
      </c>
      <c r="N68" s="18">
        <f t="shared" si="2"/>
        <v>500</v>
      </c>
      <c r="O68" s="18">
        <f t="shared" si="3"/>
        <v>0</v>
      </c>
      <c r="P68" s="19"/>
      <c r="Q68" s="12"/>
      <c r="R68" s="3"/>
      <c r="S68" s="3" t="s">
        <v>242</v>
      </c>
      <c r="T68" s="12"/>
    </row>
    <row r="69" spans="1:20" ht="57" x14ac:dyDescent="0.45">
      <c r="A69" s="6" t="s">
        <v>178</v>
      </c>
      <c r="B69" s="6">
        <v>2025002522</v>
      </c>
      <c r="C69" s="6" t="s">
        <v>179</v>
      </c>
      <c r="D69" s="6" t="s">
        <v>180</v>
      </c>
      <c r="E69" s="6" t="s">
        <v>181</v>
      </c>
      <c r="F69" s="6" t="s">
        <v>182</v>
      </c>
      <c r="G69" s="2" t="s">
        <v>140</v>
      </c>
      <c r="H69" s="1" t="s">
        <v>143</v>
      </c>
      <c r="I69" s="1" t="s">
        <v>144</v>
      </c>
      <c r="J69" s="7" t="s">
        <v>21</v>
      </c>
      <c r="K69" s="11">
        <v>91364</v>
      </c>
      <c r="L69" s="3"/>
      <c r="M69" s="17">
        <v>0.1875</v>
      </c>
      <c r="N69" s="18">
        <f t="shared" si="2"/>
        <v>500</v>
      </c>
      <c r="O69" s="18">
        <f t="shared" si="3"/>
        <v>0</v>
      </c>
      <c r="P69" s="19"/>
      <c r="Q69" s="12"/>
      <c r="R69" s="3"/>
      <c r="S69" s="3" t="s">
        <v>242</v>
      </c>
      <c r="T69" s="12"/>
    </row>
    <row r="70" spans="1:20" ht="42.75" x14ac:dyDescent="0.45">
      <c r="A70" s="6" t="s">
        <v>178</v>
      </c>
      <c r="B70" s="6">
        <v>2025002522</v>
      </c>
      <c r="C70" s="6" t="s">
        <v>179</v>
      </c>
      <c r="D70" s="6" t="s">
        <v>180</v>
      </c>
      <c r="E70" s="6" t="s">
        <v>181</v>
      </c>
      <c r="F70" s="6" t="s">
        <v>182</v>
      </c>
      <c r="G70" s="2" t="s">
        <v>145</v>
      </c>
      <c r="H70" s="1" t="s">
        <v>126</v>
      </c>
      <c r="I70" s="1" t="s">
        <v>8</v>
      </c>
      <c r="J70" s="7" t="s">
        <v>6</v>
      </c>
      <c r="K70" s="11">
        <v>73116</v>
      </c>
      <c r="L70" s="3"/>
      <c r="M70" s="17">
        <v>0.1875</v>
      </c>
      <c r="N70" s="18">
        <f t="shared" si="2"/>
        <v>500</v>
      </c>
      <c r="O70" s="18">
        <f t="shared" si="3"/>
        <v>0</v>
      </c>
      <c r="P70" s="19"/>
      <c r="Q70" s="12"/>
      <c r="R70" s="3"/>
      <c r="S70" s="3" t="s">
        <v>252</v>
      </c>
      <c r="T70" s="12"/>
    </row>
    <row r="71" spans="1:20" ht="42.75" x14ac:dyDescent="0.45">
      <c r="A71" s="6" t="s">
        <v>178</v>
      </c>
      <c r="B71" s="6">
        <v>2025002522</v>
      </c>
      <c r="C71" s="6" t="s">
        <v>179</v>
      </c>
      <c r="D71" s="6" t="s">
        <v>180</v>
      </c>
      <c r="E71" s="6" t="s">
        <v>181</v>
      </c>
      <c r="F71" s="6" t="s">
        <v>182</v>
      </c>
      <c r="G71" s="2" t="s">
        <v>146</v>
      </c>
      <c r="H71" s="1" t="s">
        <v>147</v>
      </c>
      <c r="I71" s="1" t="s">
        <v>11</v>
      </c>
      <c r="J71" s="7" t="s">
        <v>6</v>
      </c>
      <c r="K71" s="11">
        <v>74067</v>
      </c>
      <c r="L71" s="3"/>
      <c r="M71" s="17">
        <v>0.1875</v>
      </c>
      <c r="N71" s="18">
        <f t="shared" si="2"/>
        <v>500</v>
      </c>
      <c r="O71" s="18">
        <f t="shared" si="3"/>
        <v>0</v>
      </c>
      <c r="P71" s="19"/>
      <c r="Q71" s="12"/>
      <c r="R71" s="3"/>
      <c r="S71" s="3" t="s">
        <v>253</v>
      </c>
      <c r="T71" s="12"/>
    </row>
    <row r="72" spans="1:20" ht="42.75" x14ac:dyDescent="0.45">
      <c r="A72" s="6" t="s">
        <v>178</v>
      </c>
      <c r="B72" s="6">
        <v>2025002522</v>
      </c>
      <c r="C72" s="6" t="s">
        <v>179</v>
      </c>
      <c r="D72" s="6" t="s">
        <v>180</v>
      </c>
      <c r="E72" s="6" t="s">
        <v>181</v>
      </c>
      <c r="F72" s="6" t="s">
        <v>182</v>
      </c>
      <c r="G72" s="2" t="s">
        <v>148</v>
      </c>
      <c r="H72" s="1" t="s">
        <v>88</v>
      </c>
      <c r="I72" s="1" t="s">
        <v>69</v>
      </c>
      <c r="J72" s="7" t="s">
        <v>70</v>
      </c>
      <c r="K72" s="11">
        <v>87401</v>
      </c>
      <c r="L72" s="3"/>
      <c r="M72" s="17">
        <v>0.1875</v>
      </c>
      <c r="N72" s="18">
        <f t="shared" si="2"/>
        <v>500</v>
      </c>
      <c r="O72" s="18">
        <f t="shared" si="3"/>
        <v>0</v>
      </c>
      <c r="P72" s="19"/>
      <c r="Q72" s="12"/>
      <c r="R72" s="3"/>
      <c r="S72" s="3" t="s">
        <v>223</v>
      </c>
      <c r="T72" s="12"/>
    </row>
    <row r="73" spans="1:20" ht="42.75" x14ac:dyDescent="0.45">
      <c r="A73" s="6" t="s">
        <v>178</v>
      </c>
      <c r="B73" s="6">
        <v>2025002522</v>
      </c>
      <c r="C73" s="6" t="s">
        <v>179</v>
      </c>
      <c r="D73" s="6" t="s">
        <v>180</v>
      </c>
      <c r="E73" s="6" t="s">
        <v>181</v>
      </c>
      <c r="F73" s="6" t="s">
        <v>182</v>
      </c>
      <c r="G73" s="3" t="s">
        <v>155</v>
      </c>
      <c r="H73" s="1" t="s">
        <v>149</v>
      </c>
      <c r="I73" s="1" t="s">
        <v>8</v>
      </c>
      <c r="J73" s="7" t="s">
        <v>6</v>
      </c>
      <c r="K73" s="11">
        <v>73170</v>
      </c>
      <c r="L73" s="3"/>
      <c r="M73" s="17">
        <v>0.1875</v>
      </c>
      <c r="N73" s="18">
        <f t="shared" si="2"/>
        <v>500</v>
      </c>
      <c r="O73" s="18">
        <f t="shared" si="3"/>
        <v>0</v>
      </c>
      <c r="P73" s="19"/>
      <c r="Q73" s="12"/>
      <c r="R73" s="3"/>
      <c r="S73" s="3" t="s">
        <v>254</v>
      </c>
      <c r="T73" s="12"/>
    </row>
    <row r="74" spans="1:20" ht="42.75" x14ac:dyDescent="0.45">
      <c r="A74" s="6" t="s">
        <v>178</v>
      </c>
      <c r="B74" s="6">
        <v>2025002522</v>
      </c>
      <c r="C74" s="6" t="s">
        <v>179</v>
      </c>
      <c r="D74" s="6" t="s">
        <v>180</v>
      </c>
      <c r="E74" s="6" t="s">
        <v>181</v>
      </c>
      <c r="F74" s="6" t="s">
        <v>182</v>
      </c>
      <c r="G74" s="2" t="s">
        <v>150</v>
      </c>
      <c r="H74" s="1" t="s">
        <v>151</v>
      </c>
      <c r="I74" s="1" t="s">
        <v>8</v>
      </c>
      <c r="J74" s="7" t="s">
        <v>6</v>
      </c>
      <c r="K74" s="11">
        <v>73112</v>
      </c>
      <c r="L74" s="3"/>
      <c r="M74" s="17">
        <v>0.1875</v>
      </c>
      <c r="N74" s="18">
        <f t="shared" si="2"/>
        <v>500</v>
      </c>
      <c r="O74" s="18">
        <f t="shared" si="3"/>
        <v>0</v>
      </c>
      <c r="P74" s="19"/>
      <c r="Q74" s="12"/>
      <c r="R74" s="3"/>
      <c r="S74" s="3" t="s">
        <v>255</v>
      </c>
      <c r="T74" s="12"/>
    </row>
  </sheetData>
  <autoFilter ref="A6:K6" xr:uid="{00000000-0001-0000-0000-000000000000}"/>
  <dataValidations count="1">
    <dataValidation type="list" allowBlank="1" showInputMessage="1" showErrorMessage="1" sqref="M7:M74" xr:uid="{A4D940C2-9FF7-E040-B68B-D35A5BF85F91}">
      <formula1>$M$1:$M$4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</dc:creator>
  <cp:lastModifiedBy>Philip Vannoy</cp:lastModifiedBy>
  <dcterms:created xsi:type="dcterms:W3CDTF">2025-11-11T01:54:35Z</dcterms:created>
  <dcterms:modified xsi:type="dcterms:W3CDTF">2026-03-05T19:35:03Z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2025-07-30T00:00:00Z</vt:filetime>
  </property>
  <property fmtid="{D5CDD505-2E9C-101B-9397-08002B2CF9AE}" pid="3" name="LastSaved">
    <vt:filetime>2025-11-11T00:00:00Z</vt:filetime>
  </property>
  <property fmtid="{D5CDD505-2E9C-101B-9397-08002B2CF9AE}" pid="4" name="Producer">
    <vt:lpwstr>iTextSharp 5.1.2 (c) 1T3XT BVBA</vt:lpwstr>
  </property>
</Properties>
</file>